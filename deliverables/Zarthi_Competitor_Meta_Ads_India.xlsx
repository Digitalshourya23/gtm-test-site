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mpetitor Summary" sheetId="1" state="visible" r:id="rId1"/>
    <sheet name="Takeaways for Zarthi" sheetId="2" state="visible" r:id="rId2"/>
    <sheet name="Top 16 Ads" sheetId="3" state="visible" r:id="rId3"/>
    <sheet name="All Active Ads" sheetId="4" state="visible" r:id="rId4"/>
    <sheet name="Headline Patterns" sheetId="5" state="visible" r:id="rId5"/>
  </sheets>
  <definedNames>
    <definedName name="_xlnm._FilterDatabase" localSheetId="3" hidden="1">'All Active Ads'!$A$4:$I$164</definedName>
  </definedNames>
  <calcPr calcId="124519" fullCalcOnLoad="1"/>
</workbook>
</file>

<file path=xl/styles.xml><?xml version="1.0" encoding="utf-8"?>
<styleSheet xmlns="http://schemas.openxmlformats.org/spreadsheetml/2006/main">
  <numFmts count="4">
    <numFmt numFmtId="164" formatCode="yyyy-mm-dd h:mm:ss"/>
    <numFmt numFmtId="165" formatCode="dd-mmm-yyyy"/>
    <numFmt numFmtId="166" formatCode="dd-mmm-yy"/>
    <numFmt numFmtId="167" formatCode="0.0%"/>
  </numFmts>
  <fonts count="10">
    <font>
      <name val="Calibri"/>
      <family val="2"/>
      <color theme="1"/>
      <sz val="11"/>
      <scheme val="minor"/>
    </font>
    <font>
      <name val="Arial"/>
      <b val="1"/>
      <sz val="14"/>
    </font>
    <font>
      <name val="Arial"/>
      <i val="1"/>
      <color rgb="0056646F"/>
      <sz val="10"/>
    </font>
    <font>
      <name val="Arial"/>
      <b val="1"/>
      <sz val="10"/>
    </font>
    <font>
      <name val="Arial"/>
      <color rgb="000000FF"/>
      <sz val="10"/>
    </font>
    <font>
      <name val="Arial"/>
      <i val="1"/>
      <color rgb="0056646F"/>
      <sz val="9"/>
    </font>
    <font>
      <name val="Arial"/>
      <b val="1"/>
      <color rgb="00FFFFFF"/>
      <sz val="10"/>
    </font>
    <font>
      <name val="Arial"/>
      <sz val="10"/>
    </font>
    <font>
      <name val="Arial"/>
      <color rgb="000A6A8A"/>
      <sz val="10"/>
      <u val="single"/>
    </font>
    <font>
      <name val="Arial"/>
      <color rgb="00000000"/>
      <sz val="10"/>
    </font>
  </fonts>
  <fills count="4">
    <fill>
      <patternFill/>
    </fill>
    <fill>
      <patternFill patternType="gray125"/>
    </fill>
    <fill>
      <patternFill patternType="solid">
        <fgColor rgb="00FFF2CC"/>
      </patternFill>
    </fill>
    <fill>
      <patternFill patternType="solid">
        <fgColor rgb="0015212B"/>
      </patternFill>
    </fill>
  </fills>
  <borders count="2">
    <border>
      <left/>
      <right/>
      <top/>
      <bottom/>
      <diagonal/>
    </border>
    <border>
      <left style="thin">
        <color rgb="00D5DDE2"/>
      </left>
      <right style="thin">
        <color rgb="00D5DDE2"/>
      </right>
      <top style="thin">
        <color rgb="00D5DDE2"/>
      </top>
      <bottom style="thin">
        <color rgb="00D5DDE2"/>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applyAlignment="1" pivotButton="0" quotePrefix="0" xfId="0">
      <alignment wrapText="1"/>
    </xf>
    <xf numFmtId="0" fontId="3" fillId="0" borderId="0" pivotButton="0" quotePrefix="0" xfId="0"/>
    <xf numFmtId="165" fontId="4" fillId="2" borderId="0" pivotButton="0" quotePrefix="0" xfId="0"/>
    <xf numFmtId="0" fontId="5" fillId="0" borderId="0" pivotButton="0" quotePrefix="0" xfId="0"/>
    <xf numFmtId="0" fontId="6" fillId="3" borderId="1" applyAlignment="1" pivotButton="0" quotePrefix="0" xfId="0">
      <alignment vertical="center" wrapText="1"/>
    </xf>
    <xf numFmtId="0" fontId="7" fillId="0" borderId="1" applyAlignment="1" pivotButton="0" quotePrefix="0" xfId="0">
      <alignment vertical="top" wrapText="1"/>
    </xf>
    <xf numFmtId="49" fontId="7" fillId="0" borderId="1" applyAlignment="1" pivotButton="0" quotePrefix="0" xfId="0">
      <alignment vertical="top" wrapText="1"/>
    </xf>
    <xf numFmtId="166" fontId="7" fillId="0" borderId="1" applyAlignment="1" pivotButton="0" quotePrefix="0" xfId="0">
      <alignment vertical="top" wrapText="1"/>
    </xf>
    <xf numFmtId="0" fontId="3" fillId="0"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0" fontId="7" fillId="2" borderId="1" applyAlignment="1" pivotButton="0" quotePrefix="0" xfId="0">
      <alignment vertical="top" wrapText="1"/>
    </xf>
    <xf numFmtId="0" fontId="8" fillId="0" borderId="1" applyAlignment="1" pivotButton="0" quotePrefix="0" xfId="0">
      <alignment vertical="top" wrapText="1"/>
    </xf>
    <xf numFmtId="1" fontId="7" fillId="0" borderId="1" applyAlignment="1" pivotButton="0" quotePrefix="0" xfId="0">
      <alignment vertical="top" wrapText="1"/>
    </xf>
    <xf numFmtId="0" fontId="2" fillId="0" borderId="0" pivotButton="0" quotePrefix="0" xfId="0"/>
    <xf numFmtId="167" fontId="7"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Performance Marketing</author>
  </authors>
  <commentList>
    <comment ref="F5" authorId="0" shapeId="0">
      <text>
        <t>Count of distinct headline texts per advertiser, computed from the pulled data.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www.facebook.com/ads/library/?id=1766087137959969" TargetMode="External" Id="rId1" /><Relationship Type="http://schemas.openxmlformats.org/officeDocument/2006/relationships/hyperlink" Target="https://www.facebook.com/ads/library/?id=4506695909546073" TargetMode="External" Id="rId2" /><Relationship Type="http://schemas.openxmlformats.org/officeDocument/2006/relationships/hyperlink" Target="https://www.facebook.com/ads/library/?id=1142990505055359" TargetMode="External" Id="rId3" /><Relationship Type="http://schemas.openxmlformats.org/officeDocument/2006/relationships/hyperlink" Target="https://www.facebook.com/ads/library/?id=1570863821744505" TargetMode="External" Id="rId4" /><Relationship Type="http://schemas.openxmlformats.org/officeDocument/2006/relationships/hyperlink" Target="https://www.facebook.com/ads/library/?id=1424325016466491" TargetMode="External" Id="rId5" /><Relationship Type="http://schemas.openxmlformats.org/officeDocument/2006/relationships/hyperlink" Target="https://www.facebook.com/ads/library/?id=28796808946621878" TargetMode="External" Id="rId6" /><Relationship Type="http://schemas.openxmlformats.org/officeDocument/2006/relationships/hyperlink" Target="https://www.facebook.com/ads/library/?id=1374769798168339" TargetMode="External" Id="rId7" /><Relationship Type="http://schemas.openxmlformats.org/officeDocument/2006/relationships/hyperlink" Target="https://www.facebook.com/ads/library/?id=2217098326355842" TargetMode="External" Id="rId8" /><Relationship Type="http://schemas.openxmlformats.org/officeDocument/2006/relationships/hyperlink" Target="https://www.facebook.com/ads/library/?id=1443197407729118" TargetMode="External" Id="rId9" /><Relationship Type="http://schemas.openxmlformats.org/officeDocument/2006/relationships/hyperlink" Target="https://www.facebook.com/ads/library/?id=2769022723493673" TargetMode="External" Id="rId10" /><Relationship Type="http://schemas.openxmlformats.org/officeDocument/2006/relationships/hyperlink" Target="https://www.facebook.com/ads/library/?id=1644512954128194" TargetMode="External" Id="rId11" /><Relationship Type="http://schemas.openxmlformats.org/officeDocument/2006/relationships/hyperlink" Target="https://www.facebook.com/ads/library/?id=1584154803195990" TargetMode="External" Id="rId12" /><Relationship Type="http://schemas.openxmlformats.org/officeDocument/2006/relationships/hyperlink" Target="https://www.facebook.com/ads/library/?id=1059681169841736" TargetMode="External" Id="rId13" /><Relationship Type="http://schemas.openxmlformats.org/officeDocument/2006/relationships/hyperlink" Target="https://www.facebook.com/ads/library/?id=1857077995471994" TargetMode="External" Id="rId14" /><Relationship Type="http://schemas.openxmlformats.org/officeDocument/2006/relationships/hyperlink" Target="https://www.facebook.com/ads/library/?id=1493454822791932" TargetMode="External" Id="rId15" /><Relationship Type="http://schemas.openxmlformats.org/officeDocument/2006/relationships/hyperlink" Target="https://www.facebook.com/ads/library/?id=1758578985420711" TargetMode="External" Id="rId16" /></Relationships>
</file>

<file path=xl/worksheets/_rels/sheet4.xml.rels><Relationships xmlns="http://schemas.openxmlformats.org/package/2006/relationships"><Relationship Type="http://schemas.openxmlformats.org/officeDocument/2006/relationships/hyperlink" Target="https://www.facebook.com/ads/library/?id=1766087137959969" TargetMode="External" Id="rId1" /><Relationship Type="http://schemas.openxmlformats.org/officeDocument/2006/relationships/hyperlink" Target="https://www.facebook.com/ads/library/?id=4506695909546073" TargetMode="External" Id="rId2" /><Relationship Type="http://schemas.openxmlformats.org/officeDocument/2006/relationships/hyperlink" Target="https://www.facebook.com/ads/library/?id=28796808946621878" TargetMode="External" Id="rId3" /><Relationship Type="http://schemas.openxmlformats.org/officeDocument/2006/relationships/hyperlink" Target="https://www.facebook.com/ads/library/?id=1367714948903718" TargetMode="External" Id="rId4" /><Relationship Type="http://schemas.openxmlformats.org/officeDocument/2006/relationships/hyperlink" Target="https://www.facebook.com/ads/library/?id=2194812774745473" TargetMode="External" Id="rId5" /><Relationship Type="http://schemas.openxmlformats.org/officeDocument/2006/relationships/hyperlink" Target="https://www.facebook.com/ads/library/?id=1093452916384232" TargetMode="External" Id="rId6" /><Relationship Type="http://schemas.openxmlformats.org/officeDocument/2006/relationships/hyperlink" Target="https://www.facebook.com/ads/library/?id=1543057127860854" TargetMode="External" Id="rId7" /><Relationship Type="http://schemas.openxmlformats.org/officeDocument/2006/relationships/hyperlink" Target="https://www.facebook.com/ads/library/?id=2947582995576484" TargetMode="External" Id="rId8" /><Relationship Type="http://schemas.openxmlformats.org/officeDocument/2006/relationships/hyperlink" Target="https://www.facebook.com/ads/library/?id=1090026040213226" TargetMode="External" Id="rId9" /><Relationship Type="http://schemas.openxmlformats.org/officeDocument/2006/relationships/hyperlink" Target="https://www.facebook.com/ads/library/?id=1092653273523782" TargetMode="External" Id="rId10" /><Relationship Type="http://schemas.openxmlformats.org/officeDocument/2006/relationships/hyperlink" Target="https://www.facebook.com/ads/library/?id=2193769028163468" TargetMode="External" Id="rId11" /><Relationship Type="http://schemas.openxmlformats.org/officeDocument/2006/relationships/hyperlink" Target="https://www.facebook.com/ads/library/?id=949332397537835" TargetMode="External" Id="rId12" /><Relationship Type="http://schemas.openxmlformats.org/officeDocument/2006/relationships/hyperlink" Target="https://www.facebook.com/ads/library/?id=1079721494969030" TargetMode="External" Id="rId13" /><Relationship Type="http://schemas.openxmlformats.org/officeDocument/2006/relationships/hyperlink" Target="https://www.facebook.com/ads/library/?id=1110077881969022" TargetMode="External" Id="rId14" /><Relationship Type="http://schemas.openxmlformats.org/officeDocument/2006/relationships/hyperlink" Target="https://www.facebook.com/ads/library/?id=1627109228808054" TargetMode="External" Id="rId15" /><Relationship Type="http://schemas.openxmlformats.org/officeDocument/2006/relationships/hyperlink" Target="https://www.facebook.com/ads/library/?id=1597788461933206" TargetMode="External" Id="rId16" /><Relationship Type="http://schemas.openxmlformats.org/officeDocument/2006/relationships/hyperlink" Target="https://www.facebook.com/ads/library/?id=1100556402918273" TargetMode="External" Id="rId17" /><Relationship Type="http://schemas.openxmlformats.org/officeDocument/2006/relationships/hyperlink" Target="https://www.facebook.com/ads/library/?id=1058225840322916" TargetMode="External" Id="rId18" /><Relationship Type="http://schemas.openxmlformats.org/officeDocument/2006/relationships/hyperlink" Target="https://www.facebook.com/ads/library/?id=1423988079602152" TargetMode="External" Id="rId19" /><Relationship Type="http://schemas.openxmlformats.org/officeDocument/2006/relationships/hyperlink" Target="https://www.facebook.com/ads/library/?id=1055368793984871" TargetMode="External" Id="rId20" /><Relationship Type="http://schemas.openxmlformats.org/officeDocument/2006/relationships/hyperlink" Target="https://www.facebook.com/ads/library/?id=1424325016466491" TargetMode="External" Id="rId21" /><Relationship Type="http://schemas.openxmlformats.org/officeDocument/2006/relationships/hyperlink" Target="https://www.facebook.com/ads/library/?id=950795130662611" TargetMode="External" Id="rId22" /><Relationship Type="http://schemas.openxmlformats.org/officeDocument/2006/relationships/hyperlink" Target="https://www.facebook.com/ads/library/?id=938083058715945" TargetMode="External" Id="rId23" /><Relationship Type="http://schemas.openxmlformats.org/officeDocument/2006/relationships/hyperlink" Target="https://www.facebook.com/ads/library/?id=1626158498943261" TargetMode="External" Id="rId24" /><Relationship Type="http://schemas.openxmlformats.org/officeDocument/2006/relationships/hyperlink" Target="https://www.facebook.com/ads/library/?id=2216723425536314" TargetMode="External" Id="rId25" /><Relationship Type="http://schemas.openxmlformats.org/officeDocument/2006/relationships/hyperlink" Target="https://www.facebook.com/ads/library/?id=1368273501641583" TargetMode="External" Id="rId26" /><Relationship Type="http://schemas.openxmlformats.org/officeDocument/2006/relationships/hyperlink" Target="https://www.facebook.com/ads/library/?id=1072594798645235" TargetMode="External" Id="rId27" /><Relationship Type="http://schemas.openxmlformats.org/officeDocument/2006/relationships/hyperlink" Target="https://www.facebook.com/ads/library/?id=1621610832905415" TargetMode="External" Id="rId28" /><Relationship Type="http://schemas.openxmlformats.org/officeDocument/2006/relationships/hyperlink" Target="https://www.facebook.com/ads/library/?id=1883769822608251" TargetMode="External" Id="rId29" /><Relationship Type="http://schemas.openxmlformats.org/officeDocument/2006/relationships/hyperlink" Target="https://www.facebook.com/ads/library/?id=1743719863621828" TargetMode="External" Id="rId30" /><Relationship Type="http://schemas.openxmlformats.org/officeDocument/2006/relationships/hyperlink" Target="https://www.facebook.com/ads/library/?id=1397107032521883" TargetMode="External" Id="rId31" /><Relationship Type="http://schemas.openxmlformats.org/officeDocument/2006/relationships/hyperlink" Target="https://www.facebook.com/ads/library/?id=28112619045104354" TargetMode="External" Id="rId32" /><Relationship Type="http://schemas.openxmlformats.org/officeDocument/2006/relationships/hyperlink" Target="https://www.facebook.com/ads/library/?id=1105880931778419" TargetMode="External" Id="rId33" /><Relationship Type="http://schemas.openxmlformats.org/officeDocument/2006/relationships/hyperlink" Target="https://www.facebook.com/ads/library/?id=1426854799377727" TargetMode="External" Id="rId34" /><Relationship Type="http://schemas.openxmlformats.org/officeDocument/2006/relationships/hyperlink" Target="https://www.facebook.com/ads/library/?id=1419315286818560" TargetMode="External" Id="rId35" /><Relationship Type="http://schemas.openxmlformats.org/officeDocument/2006/relationships/hyperlink" Target="https://www.facebook.com/ads/library/?id=1701633130895041" TargetMode="External" Id="rId36" /><Relationship Type="http://schemas.openxmlformats.org/officeDocument/2006/relationships/hyperlink" Target="https://www.facebook.com/ads/library/?id=2217098326355842" TargetMode="External" Id="rId37" /><Relationship Type="http://schemas.openxmlformats.org/officeDocument/2006/relationships/hyperlink" Target="https://www.facebook.com/ads/library/?id=926521400531269" TargetMode="External" Id="rId38" /><Relationship Type="http://schemas.openxmlformats.org/officeDocument/2006/relationships/hyperlink" Target="https://www.facebook.com/ads/library/?id=1644512954128194" TargetMode="External" Id="rId39" /><Relationship Type="http://schemas.openxmlformats.org/officeDocument/2006/relationships/hyperlink" Target="https://www.facebook.com/ads/library/?id=2326023648134305" TargetMode="External" Id="rId40" /><Relationship Type="http://schemas.openxmlformats.org/officeDocument/2006/relationships/hyperlink" Target="https://www.facebook.com/ads/library/?id=1642240207566246" TargetMode="External" Id="rId41" /><Relationship Type="http://schemas.openxmlformats.org/officeDocument/2006/relationships/hyperlink" Target="https://www.facebook.com/ads/library/?id=1618788119751132" TargetMode="External" Id="rId42" /><Relationship Type="http://schemas.openxmlformats.org/officeDocument/2006/relationships/hyperlink" Target="https://www.facebook.com/ads/library/?id=1731530114618214" TargetMode="External" Id="rId43" /><Relationship Type="http://schemas.openxmlformats.org/officeDocument/2006/relationships/hyperlink" Target="https://www.facebook.com/ads/library/?id=1443197407729118" TargetMode="External" Id="rId44" /><Relationship Type="http://schemas.openxmlformats.org/officeDocument/2006/relationships/hyperlink" Target="https://www.facebook.com/ads/library/?id=1599423191622422" TargetMode="External" Id="rId45" /><Relationship Type="http://schemas.openxmlformats.org/officeDocument/2006/relationships/hyperlink" Target="https://www.facebook.com/ads/library/?id=28634614489533833" TargetMode="External" Id="rId46" /><Relationship Type="http://schemas.openxmlformats.org/officeDocument/2006/relationships/hyperlink" Target="https://www.facebook.com/ads/library/?id=1353268229950880" TargetMode="External" Id="rId47" /><Relationship Type="http://schemas.openxmlformats.org/officeDocument/2006/relationships/hyperlink" Target="https://www.facebook.com/ads/library/?id=1633366241766712" TargetMode="External" Id="rId48" /><Relationship Type="http://schemas.openxmlformats.org/officeDocument/2006/relationships/hyperlink" Target="https://www.facebook.com/ads/library/?id=1584408473483666" TargetMode="External" Id="rId49" /><Relationship Type="http://schemas.openxmlformats.org/officeDocument/2006/relationships/hyperlink" Target="https://www.facebook.com/ads/library/?id=2315080335911515" TargetMode="External" Id="rId50" /><Relationship Type="http://schemas.openxmlformats.org/officeDocument/2006/relationships/hyperlink" Target="https://www.facebook.com/ads/library/?id=1667886868103750" TargetMode="External" Id="rId51" /><Relationship Type="http://schemas.openxmlformats.org/officeDocument/2006/relationships/hyperlink" Target="https://www.facebook.com/ads/library/?id=1681335967040793" TargetMode="External" Id="rId52" /><Relationship Type="http://schemas.openxmlformats.org/officeDocument/2006/relationships/hyperlink" Target="https://www.facebook.com/ads/library/?id=2173315916594355" TargetMode="External" Id="rId53" /><Relationship Type="http://schemas.openxmlformats.org/officeDocument/2006/relationships/hyperlink" Target="https://www.facebook.com/ads/library/?id=1822581235563534" TargetMode="External" Id="rId54" /><Relationship Type="http://schemas.openxmlformats.org/officeDocument/2006/relationships/hyperlink" Target="https://www.facebook.com/ads/library/?id=1769084650807668" TargetMode="External" Id="rId55" /><Relationship Type="http://schemas.openxmlformats.org/officeDocument/2006/relationships/hyperlink" Target="https://www.facebook.com/ads/library/?id=4556200834594573" TargetMode="External" Id="rId56" /><Relationship Type="http://schemas.openxmlformats.org/officeDocument/2006/relationships/hyperlink" Target="https://www.facebook.com/ads/library/?id=28380128761657067" TargetMode="External" Id="rId57" /><Relationship Type="http://schemas.openxmlformats.org/officeDocument/2006/relationships/hyperlink" Target="https://www.facebook.com/ads/library/?id=2289414581806508" TargetMode="External" Id="rId58" /><Relationship Type="http://schemas.openxmlformats.org/officeDocument/2006/relationships/hyperlink" Target="https://www.facebook.com/ads/library/?id=3341823226205630" TargetMode="External" Id="rId59" /><Relationship Type="http://schemas.openxmlformats.org/officeDocument/2006/relationships/hyperlink" Target="https://www.facebook.com/ads/library/?id=1686230630182670" TargetMode="External" Id="rId60" /><Relationship Type="http://schemas.openxmlformats.org/officeDocument/2006/relationships/hyperlink" Target="https://www.facebook.com/ads/library/?id=1423625566572272" TargetMode="External" Id="rId61" /><Relationship Type="http://schemas.openxmlformats.org/officeDocument/2006/relationships/hyperlink" Target="https://www.facebook.com/ads/library/?id=1391089893238944" TargetMode="External" Id="rId62" /><Relationship Type="http://schemas.openxmlformats.org/officeDocument/2006/relationships/hyperlink" Target="https://www.facebook.com/ads/library/?id=2098166687492675" TargetMode="External" Id="rId63" /><Relationship Type="http://schemas.openxmlformats.org/officeDocument/2006/relationships/hyperlink" Target="https://www.facebook.com/ads/library/?id=1418738870472291" TargetMode="External" Id="rId64" /><Relationship Type="http://schemas.openxmlformats.org/officeDocument/2006/relationships/hyperlink" Target="https://www.facebook.com/ads/library/?id=1631305081858324" TargetMode="External" Id="rId65" /><Relationship Type="http://schemas.openxmlformats.org/officeDocument/2006/relationships/hyperlink" Target="https://www.facebook.com/ads/library/?id=1112684434434410" TargetMode="External" Id="rId66" /><Relationship Type="http://schemas.openxmlformats.org/officeDocument/2006/relationships/hyperlink" Target="https://www.facebook.com/ads/library/?id=892557287122531" TargetMode="External" Id="rId67" /><Relationship Type="http://schemas.openxmlformats.org/officeDocument/2006/relationships/hyperlink" Target="https://www.facebook.com/ads/library/?id=2071062717115300" TargetMode="External" Id="rId68" /><Relationship Type="http://schemas.openxmlformats.org/officeDocument/2006/relationships/hyperlink" Target="https://www.facebook.com/ads/library/?id=2083645638910860" TargetMode="External" Id="rId69" /><Relationship Type="http://schemas.openxmlformats.org/officeDocument/2006/relationships/hyperlink" Target="https://www.facebook.com/ads/library/?id=1087695204026081" TargetMode="External" Id="rId70" /><Relationship Type="http://schemas.openxmlformats.org/officeDocument/2006/relationships/hyperlink" Target="https://www.facebook.com/ads/library/?id=941077828561987" TargetMode="External" Id="rId71" /><Relationship Type="http://schemas.openxmlformats.org/officeDocument/2006/relationships/hyperlink" Target="https://www.facebook.com/ads/library/?id=1071265982551888" TargetMode="External" Id="rId72" /><Relationship Type="http://schemas.openxmlformats.org/officeDocument/2006/relationships/hyperlink" Target="https://www.facebook.com/ads/library/?id=1801197297965340" TargetMode="External" Id="rId73" /><Relationship Type="http://schemas.openxmlformats.org/officeDocument/2006/relationships/hyperlink" Target="https://www.facebook.com/ads/library/?id=1454093209868309" TargetMode="External" Id="rId74" /><Relationship Type="http://schemas.openxmlformats.org/officeDocument/2006/relationships/hyperlink" Target="https://www.facebook.com/ads/library/?id=1624590192527259" TargetMode="External" Id="rId75" /><Relationship Type="http://schemas.openxmlformats.org/officeDocument/2006/relationships/hyperlink" Target="https://www.facebook.com/ads/library/?id=1560370345223984" TargetMode="External" Id="rId76" /><Relationship Type="http://schemas.openxmlformats.org/officeDocument/2006/relationships/hyperlink" Target="https://www.facebook.com/ads/library/?id=1781695216368580" TargetMode="External" Id="rId77" /><Relationship Type="http://schemas.openxmlformats.org/officeDocument/2006/relationships/hyperlink" Target="https://www.facebook.com/ads/library/?id=967869792252466" TargetMode="External" Id="rId78" /><Relationship Type="http://schemas.openxmlformats.org/officeDocument/2006/relationships/hyperlink" Target="https://www.facebook.com/ads/library/?id=1079922871109856" TargetMode="External" Id="rId79" /><Relationship Type="http://schemas.openxmlformats.org/officeDocument/2006/relationships/hyperlink" Target="https://www.facebook.com/ads/library/?id=1120477080330151" TargetMode="External" Id="rId80" /><Relationship Type="http://schemas.openxmlformats.org/officeDocument/2006/relationships/hyperlink" Target="https://www.facebook.com/ads/library/?id=1785074339398672" TargetMode="External" Id="rId81" /><Relationship Type="http://schemas.openxmlformats.org/officeDocument/2006/relationships/hyperlink" Target="https://www.facebook.com/ads/library/?id=1848296909660226" TargetMode="External" Id="rId82" /><Relationship Type="http://schemas.openxmlformats.org/officeDocument/2006/relationships/hyperlink" Target="https://www.facebook.com/ads/library/?id=1296774375819514" TargetMode="External" Id="rId83" /><Relationship Type="http://schemas.openxmlformats.org/officeDocument/2006/relationships/hyperlink" Target="https://www.facebook.com/ads/library/?id=1524472366116540" TargetMode="External" Id="rId84" /><Relationship Type="http://schemas.openxmlformats.org/officeDocument/2006/relationships/hyperlink" Target="https://www.facebook.com/ads/library/?id=925751613591319" TargetMode="External" Id="rId85" /><Relationship Type="http://schemas.openxmlformats.org/officeDocument/2006/relationships/hyperlink" Target="https://www.facebook.com/ads/library/?id=1758578985420711" TargetMode="External" Id="rId86" /><Relationship Type="http://schemas.openxmlformats.org/officeDocument/2006/relationships/hyperlink" Target="https://www.facebook.com/ads/library/?id=1405696424933916" TargetMode="External" Id="rId87" /><Relationship Type="http://schemas.openxmlformats.org/officeDocument/2006/relationships/hyperlink" Target="https://www.facebook.com/ads/library/?id=1804369360690145" TargetMode="External" Id="rId88" /><Relationship Type="http://schemas.openxmlformats.org/officeDocument/2006/relationships/hyperlink" Target="https://www.facebook.com/ads/library/?id=965237466625407" TargetMode="External" Id="rId89" /><Relationship Type="http://schemas.openxmlformats.org/officeDocument/2006/relationships/hyperlink" Target="https://www.facebook.com/ads/library/?id=1092576046463670" TargetMode="External" Id="rId90" /><Relationship Type="http://schemas.openxmlformats.org/officeDocument/2006/relationships/hyperlink" Target="https://www.facebook.com/ads/library/?id=1099856512781551" TargetMode="External" Id="rId91" /><Relationship Type="http://schemas.openxmlformats.org/officeDocument/2006/relationships/hyperlink" Target="https://www.facebook.com/ads/library/?id=1305730564897840" TargetMode="External" Id="rId92" /><Relationship Type="http://schemas.openxmlformats.org/officeDocument/2006/relationships/hyperlink" Target="https://www.facebook.com/ads/library/?id=945066124830731" TargetMode="External" Id="rId93" /><Relationship Type="http://schemas.openxmlformats.org/officeDocument/2006/relationships/hyperlink" Target="https://www.facebook.com/ads/library/?id=1596213048654100" TargetMode="External" Id="rId94" /><Relationship Type="http://schemas.openxmlformats.org/officeDocument/2006/relationships/hyperlink" Target="https://www.facebook.com/ads/library/?id=881769258237710" TargetMode="External" Id="rId95" /><Relationship Type="http://schemas.openxmlformats.org/officeDocument/2006/relationships/hyperlink" Target="https://www.facebook.com/ads/library/?id=1619572422871456" TargetMode="External" Id="rId96" /><Relationship Type="http://schemas.openxmlformats.org/officeDocument/2006/relationships/hyperlink" Target="https://www.facebook.com/ads/library/?id=2598664450578503" TargetMode="External" Id="rId97" /><Relationship Type="http://schemas.openxmlformats.org/officeDocument/2006/relationships/hyperlink" Target="https://www.facebook.com/ads/library/?id=1805393114218986" TargetMode="External" Id="rId98" /><Relationship Type="http://schemas.openxmlformats.org/officeDocument/2006/relationships/hyperlink" Target="https://www.facebook.com/ads/library/?id=1143663944855789" TargetMode="External" Id="rId99" /><Relationship Type="http://schemas.openxmlformats.org/officeDocument/2006/relationships/hyperlink" Target="https://www.facebook.com/ads/library/?id=1108453754957345" TargetMode="External" Id="rId100" /><Relationship Type="http://schemas.openxmlformats.org/officeDocument/2006/relationships/hyperlink" Target="https://www.facebook.com/ads/library/?id=1803788654135737" TargetMode="External" Id="rId101" /><Relationship Type="http://schemas.openxmlformats.org/officeDocument/2006/relationships/hyperlink" Target="https://www.facebook.com/ads/library/?id=1660166108814773" TargetMode="External" Id="rId102" /><Relationship Type="http://schemas.openxmlformats.org/officeDocument/2006/relationships/hyperlink" Target="https://www.facebook.com/ads/library/?id=1524485653070296" TargetMode="External" Id="rId103" /><Relationship Type="http://schemas.openxmlformats.org/officeDocument/2006/relationships/hyperlink" Target="https://www.facebook.com/ads/library/?id=1132078925956992" TargetMode="External" Id="rId104" /><Relationship Type="http://schemas.openxmlformats.org/officeDocument/2006/relationships/hyperlink" Target="https://www.facebook.com/ads/library/?id=1570863821744505" TargetMode="External" Id="rId105" /><Relationship Type="http://schemas.openxmlformats.org/officeDocument/2006/relationships/hyperlink" Target="https://www.facebook.com/ads/library/?id=1374769798168339" TargetMode="External" Id="rId106" /><Relationship Type="http://schemas.openxmlformats.org/officeDocument/2006/relationships/hyperlink" Target="https://www.facebook.com/ads/library/?id=2613304192423928" TargetMode="External" Id="rId107" /><Relationship Type="http://schemas.openxmlformats.org/officeDocument/2006/relationships/hyperlink" Target="https://www.facebook.com/ads/library/?id=2656647974783435" TargetMode="External" Id="rId108" /><Relationship Type="http://schemas.openxmlformats.org/officeDocument/2006/relationships/hyperlink" Target="https://www.facebook.com/ads/library/?id=1111354464564857" TargetMode="External" Id="rId109" /><Relationship Type="http://schemas.openxmlformats.org/officeDocument/2006/relationships/hyperlink" Target="https://www.facebook.com/ads/library/?id=2769022723493673" TargetMode="External" Id="rId110" /><Relationship Type="http://schemas.openxmlformats.org/officeDocument/2006/relationships/hyperlink" Target="https://www.facebook.com/ads/library/?id=27016352104730107" TargetMode="External" Id="rId111" /><Relationship Type="http://schemas.openxmlformats.org/officeDocument/2006/relationships/hyperlink" Target="https://www.facebook.com/ads/library/?id=2619487968484224" TargetMode="External" Id="rId112" /><Relationship Type="http://schemas.openxmlformats.org/officeDocument/2006/relationships/hyperlink" Target="https://www.facebook.com/ads/library/?id=1806629697230299" TargetMode="External" Id="rId113" /><Relationship Type="http://schemas.openxmlformats.org/officeDocument/2006/relationships/hyperlink" Target="https://www.facebook.com/ads/library/?id=1131614362537315" TargetMode="External" Id="rId114" /><Relationship Type="http://schemas.openxmlformats.org/officeDocument/2006/relationships/hyperlink" Target="https://www.facebook.com/ads/library/?id=2080812449465794" TargetMode="External" Id="rId115" /><Relationship Type="http://schemas.openxmlformats.org/officeDocument/2006/relationships/hyperlink" Target="https://www.facebook.com/ads/library/?id=1390663786509718" TargetMode="External" Id="rId116" /><Relationship Type="http://schemas.openxmlformats.org/officeDocument/2006/relationships/hyperlink" Target="https://www.facebook.com/ads/library/?id=957535054075237" TargetMode="External" Id="rId117" /><Relationship Type="http://schemas.openxmlformats.org/officeDocument/2006/relationships/hyperlink" Target="https://www.facebook.com/ads/library/?id=1617379916407570" TargetMode="External" Id="rId118" /><Relationship Type="http://schemas.openxmlformats.org/officeDocument/2006/relationships/hyperlink" Target="https://www.facebook.com/ads/library/?id=1137172649196100" TargetMode="External" Id="rId119" /><Relationship Type="http://schemas.openxmlformats.org/officeDocument/2006/relationships/hyperlink" Target="https://www.facebook.com/ads/library/?id=1584154803195990" TargetMode="External" Id="rId120" /><Relationship Type="http://schemas.openxmlformats.org/officeDocument/2006/relationships/hyperlink" Target="https://www.facebook.com/ads/library/?id=4295080664086628" TargetMode="External" Id="rId121" /><Relationship Type="http://schemas.openxmlformats.org/officeDocument/2006/relationships/hyperlink" Target="https://www.facebook.com/ads/library/?id=972600689217380" TargetMode="External" Id="rId122" /><Relationship Type="http://schemas.openxmlformats.org/officeDocument/2006/relationships/hyperlink" Target="https://www.facebook.com/ads/library/?id=962587662917345" TargetMode="External" Id="rId123" /><Relationship Type="http://schemas.openxmlformats.org/officeDocument/2006/relationships/hyperlink" Target="https://www.facebook.com/ads/library/?id=1881584219891993" TargetMode="External" Id="rId124" /><Relationship Type="http://schemas.openxmlformats.org/officeDocument/2006/relationships/hyperlink" Target="https://www.facebook.com/ads/library/?id=1106330895091217" TargetMode="External" Id="rId125" /><Relationship Type="http://schemas.openxmlformats.org/officeDocument/2006/relationships/hyperlink" Target="https://www.facebook.com/ads/library/?id=1114559641131481" TargetMode="External" Id="rId126" /><Relationship Type="http://schemas.openxmlformats.org/officeDocument/2006/relationships/hyperlink" Target="https://www.facebook.com/ads/library/?id=1112685041221625" TargetMode="External" Id="rId127" /><Relationship Type="http://schemas.openxmlformats.org/officeDocument/2006/relationships/hyperlink" Target="https://www.facebook.com/ads/library/?id=1066539399610672" TargetMode="External" Id="rId128" /><Relationship Type="http://schemas.openxmlformats.org/officeDocument/2006/relationships/hyperlink" Target="https://www.facebook.com/ads/library/?id=2885411395151301" TargetMode="External" Id="rId129" /><Relationship Type="http://schemas.openxmlformats.org/officeDocument/2006/relationships/hyperlink" Target="https://www.facebook.com/ads/library/?id=2148379979361563" TargetMode="External" Id="rId130" /><Relationship Type="http://schemas.openxmlformats.org/officeDocument/2006/relationships/hyperlink" Target="https://www.facebook.com/ads/library/?id=2371297836608083" TargetMode="External" Id="rId131" /><Relationship Type="http://schemas.openxmlformats.org/officeDocument/2006/relationships/hyperlink" Target="https://www.facebook.com/ads/library/?id=1084566414499531" TargetMode="External" Id="rId132" /><Relationship Type="http://schemas.openxmlformats.org/officeDocument/2006/relationships/hyperlink" Target="https://www.facebook.com/ads/library/?id=1893005878341110" TargetMode="External" Id="rId133" /><Relationship Type="http://schemas.openxmlformats.org/officeDocument/2006/relationships/hyperlink" Target="https://www.facebook.com/ads/library/?id=1527050672785020" TargetMode="External" Id="rId134" /><Relationship Type="http://schemas.openxmlformats.org/officeDocument/2006/relationships/hyperlink" Target="https://www.facebook.com/ads/library/?id=2140559953546307" TargetMode="External" Id="rId135" /><Relationship Type="http://schemas.openxmlformats.org/officeDocument/2006/relationships/hyperlink" Target="https://www.facebook.com/ads/library/?id=2020396838631163" TargetMode="External" Id="rId136" /><Relationship Type="http://schemas.openxmlformats.org/officeDocument/2006/relationships/hyperlink" Target="https://www.facebook.com/ads/library/?id=3913566248780960" TargetMode="External" Id="rId137" /><Relationship Type="http://schemas.openxmlformats.org/officeDocument/2006/relationships/hyperlink" Target="https://www.facebook.com/ads/library/?id=2379184199156432" TargetMode="External" Id="rId138" /><Relationship Type="http://schemas.openxmlformats.org/officeDocument/2006/relationships/hyperlink" Target="https://www.facebook.com/ads/library/?id=2220022455614586" TargetMode="External" Id="rId139" /><Relationship Type="http://schemas.openxmlformats.org/officeDocument/2006/relationships/hyperlink" Target="https://www.facebook.com/ads/library/?id=1419210893635498" TargetMode="External" Id="rId140" /><Relationship Type="http://schemas.openxmlformats.org/officeDocument/2006/relationships/hyperlink" Target="https://www.facebook.com/ads/library/?id=1059681169841736" TargetMode="External" Id="rId141" /><Relationship Type="http://schemas.openxmlformats.org/officeDocument/2006/relationships/hyperlink" Target="https://www.facebook.com/ads/library/?id=1297336243471931" TargetMode="External" Id="rId142" /><Relationship Type="http://schemas.openxmlformats.org/officeDocument/2006/relationships/hyperlink" Target="https://www.facebook.com/ads/library/?id=1493454822791932" TargetMode="External" Id="rId143" /><Relationship Type="http://schemas.openxmlformats.org/officeDocument/2006/relationships/hyperlink" Target="https://www.facebook.com/ads/library/?id=1050574251127040" TargetMode="External" Id="rId144" /><Relationship Type="http://schemas.openxmlformats.org/officeDocument/2006/relationships/hyperlink" Target="https://www.facebook.com/ads/library/?id=2843663299337646" TargetMode="External" Id="rId145" /><Relationship Type="http://schemas.openxmlformats.org/officeDocument/2006/relationships/hyperlink" Target="https://www.facebook.com/ads/library/?id=1142990505055359" TargetMode="External" Id="rId146" /><Relationship Type="http://schemas.openxmlformats.org/officeDocument/2006/relationships/hyperlink" Target="https://www.facebook.com/ads/library/?id=1733374157878293" TargetMode="External" Id="rId147" /><Relationship Type="http://schemas.openxmlformats.org/officeDocument/2006/relationships/hyperlink" Target="https://www.facebook.com/ads/library/?id=1101483218903788" TargetMode="External" Id="rId148" /><Relationship Type="http://schemas.openxmlformats.org/officeDocument/2006/relationships/hyperlink" Target="https://www.facebook.com/ads/library/?id=2101415090489220" TargetMode="External" Id="rId149" /><Relationship Type="http://schemas.openxmlformats.org/officeDocument/2006/relationships/hyperlink" Target="https://www.facebook.com/ads/library/?id=1103637452158459" TargetMode="External" Id="rId150" /><Relationship Type="http://schemas.openxmlformats.org/officeDocument/2006/relationships/hyperlink" Target="https://www.facebook.com/ads/library/?id=2344775116292575" TargetMode="External" Id="rId151" /><Relationship Type="http://schemas.openxmlformats.org/officeDocument/2006/relationships/hyperlink" Target="https://www.facebook.com/ads/library/?id=1752067006046419" TargetMode="External" Id="rId152" /><Relationship Type="http://schemas.openxmlformats.org/officeDocument/2006/relationships/hyperlink" Target="https://www.facebook.com/ads/library/?id=1476066291008870" TargetMode="External" Id="rId153" /><Relationship Type="http://schemas.openxmlformats.org/officeDocument/2006/relationships/hyperlink" Target="https://www.facebook.com/ads/library/?id=1410923017040170" TargetMode="External" Id="rId154" /><Relationship Type="http://schemas.openxmlformats.org/officeDocument/2006/relationships/hyperlink" Target="https://www.facebook.com/ads/library/?id=2033884180588405" TargetMode="External" Id="rId155" /><Relationship Type="http://schemas.openxmlformats.org/officeDocument/2006/relationships/hyperlink" Target="https://www.facebook.com/ads/library/?id=1067097339560873" TargetMode="External" Id="rId156" /><Relationship Type="http://schemas.openxmlformats.org/officeDocument/2006/relationships/hyperlink" Target="https://www.facebook.com/ads/library/?id=1607467634254583" TargetMode="External" Id="rId157" /><Relationship Type="http://schemas.openxmlformats.org/officeDocument/2006/relationships/hyperlink" Target="https://www.facebook.com/ads/library/?id=1379750844141809" TargetMode="External" Id="rId158" /><Relationship Type="http://schemas.openxmlformats.org/officeDocument/2006/relationships/hyperlink" Target="https://www.facebook.com/ads/library/?id=1798358964494727" TargetMode="External" Id="rId159" /><Relationship Type="http://schemas.openxmlformats.org/officeDocument/2006/relationships/hyperlink" Target="https://www.facebook.com/ads/library/?id=1814030646269620" TargetMode="External" Id="rId160" /></Relationships>
</file>

<file path=xl/worksheets/sheet1.xml><?xml version="1.0" encoding="utf-8"?>
<worksheet xmlns="http://schemas.openxmlformats.org/spreadsheetml/2006/main">
  <sheetPr>
    <outlinePr summaryBelow="1" summaryRight="1"/>
    <pageSetUpPr/>
  </sheetPr>
  <dimension ref="A1:L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0" customWidth="1" min="1" max="1"/>
    <col width="18" customWidth="1" min="2" max="2"/>
    <col width="26" customWidth="1" min="3" max="3"/>
    <col width="14" customWidth="1" min="4" max="4"/>
    <col width="11" customWidth="1" min="5" max="5"/>
    <col width="11" customWidth="1" min="6" max="6"/>
    <col width="13" customWidth="1" min="7" max="7"/>
    <col width="13" customWidth="1" min="8" max="8"/>
    <col width="13" customWidth="1" min="9" max="9"/>
    <col width="26" customWidth="1" min="10" max="10"/>
    <col width="48" customWidth="1" min="11" max="11"/>
    <col width="48" customWidth="1" min="12" max="12"/>
  </cols>
  <sheetData>
    <row r="1">
      <c r="A1" s="1" t="inlineStr">
        <is>
          <t>Zarthi · Cloud Architect hiring · Competitor summary (Meta Ad Library, India, active ads)</t>
        </is>
      </c>
    </row>
    <row r="2" ht="30" customHeight="1">
      <c r="A2" s="2" t="inlineStr">
        <is>
          <t>Source: Meta Ad Library via Zarthi's connected Meta account, pulled 28 Sep 2026. Counts are formulas over the 'All Active Ads' sheet. For large advertisers Meta returns up to 50 ads per query, so counts are a floor.</t>
        </is>
      </c>
    </row>
    <row r="3">
      <c r="A3" s="3" t="inlineStr">
        <is>
          <t>Snapshot date</t>
        </is>
      </c>
      <c r="B3" s="4" t="n">
        <v>46293</v>
      </c>
      <c r="C3" s="5" t="inlineStr">
        <is>
          <t>← change to re-base 'launched in last 7 days' and 'days live'</t>
        </is>
      </c>
    </row>
    <row r="5">
      <c r="A5" s="6" t="inlineStr">
        <is>
          <t>Advertiser</t>
        </is>
      </c>
      <c r="B5" s="6" t="inlineStr">
        <is>
          <t>Page ID</t>
        </is>
      </c>
      <c r="C5" s="6" t="inlineStr">
        <is>
          <t>Category</t>
        </is>
      </c>
      <c r="D5" s="6" t="inlineStr">
        <is>
          <t>Relevance to Zarthi</t>
        </is>
      </c>
      <c r="E5" s="6" t="inlineStr">
        <is>
          <t>Active ads found</t>
        </is>
      </c>
      <c r="F5" s="6" t="inlineStr">
        <is>
          <t>Unique headlines</t>
        </is>
      </c>
      <c r="G5" s="6" t="inlineStr">
        <is>
          <t>First ad live</t>
        </is>
      </c>
      <c r="H5" s="6" t="inlineStr">
        <is>
          <t>Newest ad live</t>
        </is>
      </c>
      <c r="I5" s="6" t="inlineStr">
        <is>
          <t>Ads launched in last 7 days</t>
        </is>
      </c>
      <c r="J5" s="6" t="inlineStr">
        <is>
          <t>Main hook</t>
        </is>
      </c>
      <c r="K5" s="6" t="inlineStr">
        <is>
          <t>What they're doing</t>
        </is>
      </c>
      <c r="L5" s="6" t="inlineStr">
        <is>
          <t>What Zarthi should take from it</t>
        </is>
      </c>
    </row>
    <row r="6">
      <c r="A6" s="7" t="inlineStr">
        <is>
          <t>Nowwin Technologies</t>
        </is>
      </c>
      <c r="B6" s="8" t="inlineStr">
        <is>
          <t>851245194944831</t>
        </is>
      </c>
      <c r="C6" s="7" t="inlineStr">
        <is>
          <t>Hiring (IT)</t>
        </is>
      </c>
      <c r="D6" s="7" t="inlineStr">
        <is>
          <t>High</t>
        </is>
      </c>
      <c r="E6" s="7">
        <f>COUNTIF('All Active Ads'!$A$5:$A$165,A6)</f>
        <v/>
      </c>
      <c r="F6" s="7" t="n">
        <v>2</v>
      </c>
      <c r="G6" s="9">
        <f>IF(E6=0,"–",_xlfn.MINIFS('All Active Ads'!$F$5:$F$165,'All Active Ads'!$A$5:$A$165,A6))</f>
        <v/>
      </c>
      <c r="H6" s="9">
        <f>IF(E6=0,"–",_xlfn.MAXIFS('All Active Ads'!$F$5:$F$165,'All Active Ads'!$A$5:$A$165,A6))</f>
        <v/>
      </c>
      <c r="I6" s="7">
        <f>COUNTIFS('All Active Ads'!$A$5:$A$165,A6,'All Active Ads'!$F$5:$F$165,"&gt;="&amp;($B$3-7))</f>
        <v/>
      </c>
      <c r="J6" s="7" t="inlineStr">
        <is>
          <t>Experience call-out</t>
        </is>
      </c>
      <c r="K6" s="7" t="inlineStr">
        <is>
          <t>Two single-role hiring ads, each leading with years of experience ('7+ Years?', '10+ Years PeopleSoft Experience?'). Niche enterprise roles, like ours.</t>
        </is>
      </c>
      <c r="L6" s="7" t="inlineStr">
        <is>
          <t>Copy the format: '10+ years in cloud? We're hiring 2 Cloud Architects.' It pre-qualifies before the click.</t>
        </is>
      </c>
    </row>
    <row r="7">
      <c r="A7" s="7" t="inlineStr">
        <is>
          <t>FPA AI</t>
        </is>
      </c>
      <c r="B7" s="8" t="inlineStr">
        <is>
          <t>1412353528623168</t>
        </is>
      </c>
      <c r="C7" s="7" t="inlineStr">
        <is>
          <t>Hiring (tech consulting)</t>
        </is>
      </c>
      <c r="D7" s="7" t="inlineStr">
        <is>
          <t>High</t>
        </is>
      </c>
      <c r="E7" s="7">
        <f>COUNTIF('All Active Ads'!$A$5:$A$165,A7)</f>
        <v/>
      </c>
      <c r="F7" s="7" t="n">
        <v>1</v>
      </c>
      <c r="G7" s="9">
        <f>IF(E7=0,"–",_xlfn.MINIFS('All Active Ads'!$F$5:$F$165,'All Active Ads'!$A$5:$A$165,A7))</f>
        <v/>
      </c>
      <c r="H7" s="9">
        <f>IF(E7=0,"–",_xlfn.MAXIFS('All Active Ads'!$F$5:$F$165,'All Active Ads'!$A$5:$A$165,A7))</f>
        <v/>
      </c>
      <c r="I7" s="7">
        <f>COUNTIFS('All Active Ads'!$A$5:$A$165,A7,'All Active Ads'!$F$5:$F$165,"&gt;="&amp;($B$3-7))</f>
        <v/>
      </c>
      <c r="J7" s="7" t="inlineStr">
        <is>
          <t>Employer brand</t>
        </is>
      </c>
      <c r="K7" s="7" t="inlineStr">
        <is>
          <t>One employer-brand ad for an enterprise tech &amp; AI advisory firm: 'Join us', digital transformation, 'Scan QR'.</t>
        </is>
      </c>
      <c r="L7" s="7" t="inlineStr">
        <is>
          <t>Closest business match to Zarthi. Their ad is generic, so a role-specific, practice-led ad will stand out.</t>
        </is>
      </c>
    </row>
    <row r="8">
      <c r="A8" s="7" t="inlineStr">
        <is>
          <t>hirist.tech</t>
        </is>
      </c>
      <c r="B8" s="8" t="inlineStr">
        <is>
          <t>446429982057859</t>
        </is>
      </c>
      <c r="C8" s="7" t="inlineStr">
        <is>
          <t>Tech job board</t>
        </is>
      </c>
      <c r="D8" s="7" t="inlineStr">
        <is>
          <t>High</t>
        </is>
      </c>
      <c r="E8" s="7">
        <f>COUNTIF('All Active Ads'!$A$5:$A$165,A8)</f>
        <v/>
      </c>
      <c r="F8" s="7" t="n">
        <v>4</v>
      </c>
      <c r="G8" s="9">
        <f>IF(E8=0,"–",_xlfn.MINIFS('All Active Ads'!$F$5:$F$165,'All Active Ads'!$A$5:$A$165,A8))</f>
        <v/>
      </c>
      <c r="H8" s="9">
        <f>IF(E8=0,"–",_xlfn.MAXIFS('All Active Ads'!$F$5:$F$165,'All Active Ads'!$A$5:$A$165,A8))</f>
        <v/>
      </c>
      <c r="I8" s="7">
        <f>COUNTIFS('All Active Ads'!$A$5:$A$165,A8,'All Active Ads'!$F$5:$F$165,"&gt;="&amp;($B$3-7))</f>
        <v/>
      </c>
      <c r="J8" s="7" t="inlineStr">
        <is>
          <t>Free / low-friction</t>
        </is>
      </c>
      <c r="K8" s="7" t="inlineStr">
        <is>
          <t>~30 active ads. Heavy testing of a few messages: 'Free to apply. Takes 2 minutes', 'Find Tech Jobs Closer to Home', 'Bengaluru's Top Hiring Day', multi-employer 'X is hiring'.</t>
        </is>
      </c>
      <c r="L8" s="7" t="inlineStr">
        <is>
          <t>Hirist is actively buying this audience on Meta. List the role on Hirist, and borrow 'takes 2 minutes' and 'closer to home' (city-specific ads for Noida, Bangalore and Trivandrum).</t>
        </is>
      </c>
    </row>
    <row r="9">
      <c r="A9" s="7" t="inlineStr">
        <is>
          <t>Technopark, Trivandrum</t>
        </is>
      </c>
      <c r="B9" s="8" t="inlineStr">
        <is>
          <t>140899789320354</t>
        </is>
      </c>
      <c r="C9" s="7" t="inlineStr">
        <is>
          <t>Tech park / community</t>
        </is>
      </c>
      <c r="D9" s="7" t="inlineStr">
        <is>
          <t>High (Trivandrum)</t>
        </is>
      </c>
      <c r="E9" s="7">
        <f>COUNTIF('All Active Ads'!$A$5:$A$165,A9)</f>
        <v/>
      </c>
      <c r="F9" s="7" t="n">
        <v>2</v>
      </c>
      <c r="G9" s="9">
        <f>IF(E9=0,"–",_xlfn.MINIFS('All Active Ads'!$F$5:$F$165,'All Active Ads'!$A$5:$A$165,A9))</f>
        <v/>
      </c>
      <c r="H9" s="9">
        <f>IF(E9=0,"–",_xlfn.MAXIFS('All Active Ads'!$F$5:$F$165,'All Active Ads'!$A$5:$A$165,A9))</f>
        <v/>
      </c>
      <c r="I9" s="7">
        <f>COUNTIFS('All Active Ads'!$A$5:$A$165,A9,'All Active Ads'!$F$5:$F$165,"&gt;="&amp;($B$3-7))</f>
        <v/>
      </c>
      <c r="J9" s="7" t="inlineStr">
        <is>
          <t>Visual-led community</t>
        </is>
      </c>
      <c r="K9" s="7" t="inlineStr">
        <is>
          <t>4 visual ads with no headline, one linking to Instagram. Park-level employer-brand and community content.</t>
        </is>
      </c>
      <c r="L9" s="7" t="inlineStr">
        <is>
          <t>Use Technopark's community and job listings for the Trivandrum hire (organic).</t>
        </is>
      </c>
    </row>
    <row r="10">
      <c r="A10" s="7" t="inlineStr">
        <is>
          <t>Software System Design/Architecture Interview</t>
        </is>
      </c>
      <c r="B10" s="8" t="inlineStr">
        <is>
          <t>166719546523044</t>
        </is>
      </c>
      <c r="C10" s="7" t="inlineStr">
        <is>
          <t>Edtech: architect course</t>
        </is>
      </c>
      <c r="D10" s="7" t="inlineStr">
        <is>
          <t>High (attention)</t>
        </is>
      </c>
      <c r="E10" s="7">
        <f>COUNTIF('All Active Ads'!$A$5:$A$165,A10)</f>
        <v/>
      </c>
      <c r="F10" s="7" t="n">
        <v>1</v>
      </c>
      <c r="G10" s="9">
        <f>IF(E10=0,"–",_xlfn.MINIFS('All Active Ads'!$F$5:$F$165,'All Active Ads'!$A$5:$A$165,A10))</f>
        <v/>
      </c>
      <c r="H10" s="9">
        <f>IF(E10=0,"–",_xlfn.MAXIFS('All Active Ads'!$F$5:$F$165,'All Active Ads'!$A$5:$A$165,A10))</f>
        <v/>
      </c>
      <c r="I10" s="7">
        <f>COUNTIFS('All Active Ads'!$A$5:$A$165,A10,'All Active Ads'!$F$5:$F$165,"&gt;="&amp;($B$3-7))</f>
        <v/>
      </c>
      <c r="J10" s="7" t="inlineStr">
        <is>
          <t>Transformation + 10+ yrs filter</t>
        </is>
      </c>
      <c r="K10" s="7" t="inlineStr">
        <is>
          <t>Carousel, 'Only for 10+ Years Software Engineers', CTA Apply Now. Targets exactly our seniority.</t>
        </is>
      </c>
      <c r="L10" s="7" t="inlineStr">
        <is>
          <t>Competes directly for our people. Our answer: a real architect role, not another course.</t>
        </is>
      </c>
    </row>
    <row r="11">
      <c r="A11" s="7" t="inlineStr">
        <is>
          <t>EdYoda</t>
        </is>
      </c>
      <c r="B11" s="8" t="inlineStr">
        <is>
          <t>813649275509075</t>
        </is>
      </c>
      <c r="C11" s="7" t="inlineStr">
        <is>
          <t>Edtech: certifications</t>
        </is>
      </c>
      <c r="D11" s="7" t="inlineStr">
        <is>
          <t>High (attention)</t>
        </is>
      </c>
      <c r="E11" s="7">
        <f>COUNTIF('All Active Ads'!$A$5:$A$165,A11)</f>
        <v/>
      </c>
      <c r="F11" s="7" t="n">
        <v>9</v>
      </c>
      <c r="G11" s="9">
        <f>IF(E11=0,"–",_xlfn.MINIFS('All Active Ads'!$F$5:$F$165,'All Active Ads'!$A$5:$A$165,A11))</f>
        <v/>
      </c>
      <c r="H11" s="9">
        <f>IF(E11=0,"–",_xlfn.MAXIFS('All Active Ads'!$F$5:$F$165,'All Active Ads'!$A$5:$A$165,A11))</f>
        <v/>
      </c>
      <c r="I11" s="7">
        <f>COUNTIFS('All Active Ads'!$A$5:$A$165,A11,'All Active Ads'!$F$5:$F$165,"&gt;="&amp;($B$3-7))</f>
        <v/>
      </c>
      <c r="J11" s="7" t="inlineStr">
        <is>
          <t>Transformation template</t>
        </is>
      </c>
      <c r="K11" s="7" t="inlineStr">
        <is>
          <t>40+ ads on one template, '👉Become a CERTIFIED [ROLE]🚀', rotated across Multicloud Architect, AI Solutions Architect, FDE, Databricks and GRC. Several new ads daily.</t>
        </is>
      </c>
      <c r="L11" s="7" t="inlineStr">
        <is>
          <t>This is the noise our ad sits in. Say plainly 'Zarthi is hiring, this is a job, not a course' and use a real company and city.</t>
        </is>
      </c>
    </row>
    <row r="12">
      <c r="A12" s="7" t="inlineStr">
        <is>
          <t>Open Source India</t>
        </is>
      </c>
      <c r="B12" s="8" t="inlineStr">
        <is>
          <t>296874510990</t>
        </is>
      </c>
      <c r="C12" s="7" t="inlineStr">
        <is>
          <t>Tech conference</t>
        </is>
      </c>
      <c r="D12" s="7" t="inlineStr">
        <is>
          <t>High (community)</t>
        </is>
      </c>
      <c r="E12" s="7">
        <f>COUNTIF('All Active Ads'!$A$5:$A$165,A12)</f>
        <v/>
      </c>
      <c r="F12" s="7" t="n">
        <v>6</v>
      </c>
      <c r="G12" s="9">
        <f>IF(E12=0,"–",_xlfn.MINIFS('All Active Ads'!$F$5:$F$165,'All Active Ads'!$A$5:$A$165,A12))</f>
        <v/>
      </c>
      <c r="H12" s="9">
        <f>IF(E12=0,"–",_xlfn.MAXIFS('All Active Ads'!$F$5:$F$165,'All Active Ads'!$A$5:$A$165,A12))</f>
        <v/>
      </c>
      <c r="I12" s="7">
        <f>COUNTIFS('All Active Ads'!$A$5:$A$165,A12,'All Active Ads'!$F$5:$F$165,"&gt;="&amp;($B$3-7))</f>
        <v/>
      </c>
      <c r="J12" s="7" t="inlineStr">
        <is>
          <t>Event / talk titles</t>
        </is>
      </c>
      <c r="K12" s="7" t="inlineStr">
        <is>
          <t>22+ ads, each listing conference talk titles: Kubernetes, observability, AI agents, a FOSS migration from Oracle.</t>
        </is>
      </c>
      <c r="L12" s="7" t="inlineStr">
        <is>
          <t>Architects engage with technical content. Use architecture-challenge posts and a meetup/event presence, as in the organic plan.</t>
        </is>
      </c>
    </row>
    <row r="13">
      <c r="A13" s="7" t="inlineStr">
        <is>
          <t>Prism IT Hub</t>
        </is>
      </c>
      <c r="B13" s="8" t="inlineStr">
        <is>
          <t>1042916842245951</t>
        </is>
      </c>
      <c r="C13" s="7" t="inlineStr">
        <is>
          <t>Hiring (IT recruiter)</t>
        </is>
      </c>
      <c r="D13" s="7" t="inlineStr">
        <is>
          <t>Medium</t>
        </is>
      </c>
      <c r="E13" s="7">
        <f>COUNTIF('All Active Ads'!$A$5:$A$165,A13)</f>
        <v/>
      </c>
      <c r="F13" s="7" t="n">
        <v>1</v>
      </c>
      <c r="G13" s="9">
        <f>IF(E13=0,"–",_xlfn.MINIFS('All Active Ads'!$F$5:$F$165,'All Active Ads'!$A$5:$A$165,A13))</f>
        <v/>
      </c>
      <c r="H13" s="9">
        <f>IF(E13=0,"–",_xlfn.MAXIFS('All Active Ads'!$F$5:$F$165,'All Active Ads'!$A$5:$A$165,A13))</f>
        <v/>
      </c>
      <c r="I13" s="7">
        <f>COUNTIFS('All Active Ads'!$A$5:$A$165,A13,'All Active Ads'!$F$5:$F$165,"&gt;="&amp;($B$3-7))</f>
        <v/>
      </c>
      <c r="J13" s="7" t="inlineStr">
        <is>
          <t>Big-brand borrowing</t>
        </is>
      </c>
      <c r="K13" s="7" t="inlineStr">
        <is>
          <t>Recruiter using TCS's name plus '6+ Years' to draw experienced IT services staff.</t>
        </is>
      </c>
      <c r="L13" s="7" t="inlineStr">
        <is>
          <t>Our audience responds to recognisable employer names. Only use client names once approved.</t>
        </is>
      </c>
    </row>
    <row r="14">
      <c r="A14" s="7" t="inlineStr">
        <is>
          <t>Exano Technologies</t>
        </is>
      </c>
      <c r="B14" s="8" t="inlineStr">
        <is>
          <t>724936154033605</t>
        </is>
      </c>
      <c r="C14" s="7" t="inlineStr">
        <is>
          <t>Hiring (IT)</t>
        </is>
      </c>
      <c r="D14" s="7" t="inlineStr">
        <is>
          <t>Medium</t>
        </is>
      </c>
      <c r="E14" s="7">
        <f>COUNTIF('All Active Ads'!$A$5:$A$165,A14)</f>
        <v/>
      </c>
      <c r="F14" s="7" t="n">
        <v>1</v>
      </c>
      <c r="G14" s="9">
        <f>IF(E14=0,"–",_xlfn.MINIFS('All Active Ads'!$F$5:$F$165,'All Active Ads'!$A$5:$A$165,A14))</f>
        <v/>
      </c>
      <c r="H14" s="9">
        <f>IF(E14=0,"–",_xlfn.MAXIFS('All Active Ads'!$F$5:$F$165,'All Active Ads'!$A$5:$A$165,A14))</f>
        <v/>
      </c>
      <c r="I14" s="7">
        <f>COUNTIFS('All Active Ads'!$A$5:$A$165,A14,'All Active Ads'!$F$5:$F$165,"&gt;="&amp;($B$3-7))</f>
        <v/>
      </c>
      <c r="J14" s="7" t="inlineStr">
        <is>
          <t>Direct response</t>
        </is>
      </c>
      <c r="K14" s="7" t="inlineStr">
        <is>
          <t>Single 'Upload your resume' ad.</t>
        </is>
      </c>
      <c r="L14" s="7" t="inlineStr">
        <is>
          <t>CV upload adds friction. Our no-CV instant form is the easier ask.</t>
        </is>
      </c>
    </row>
    <row r="15">
      <c r="A15" s="7" t="inlineStr">
        <is>
          <t>R9ST IT Academy</t>
        </is>
      </c>
      <c r="B15" s="8" t="inlineStr">
        <is>
          <t>484287398101280</t>
        </is>
      </c>
      <c r="C15" s="7" t="inlineStr">
        <is>
          <t>Edtech: DevOps / AWS training</t>
        </is>
      </c>
      <c r="D15" s="7" t="inlineStr">
        <is>
          <t>Medium</t>
        </is>
      </c>
      <c r="E15" s="7">
        <f>COUNTIF('All Active Ads'!$A$5:$A$165,A15)</f>
        <v/>
      </c>
      <c r="F15" s="7" t="n">
        <v>6</v>
      </c>
      <c r="G15" s="9">
        <f>IF(E15=0,"–",_xlfn.MINIFS('All Active Ads'!$F$5:$F$165,'All Active Ads'!$A$5:$A$165,A15))</f>
        <v/>
      </c>
      <c r="H15" s="9">
        <f>IF(E15=0,"–",_xlfn.MAXIFS('All Active Ads'!$F$5:$F$165,'All Active Ads'!$A$5:$A$165,A15))</f>
        <v/>
      </c>
      <c r="I15" s="7">
        <f>COUNTIFS('All Active Ads'!$A$5:$A$165,A15,'All Active Ads'!$F$5:$F$165,"&gt;="&amp;($B$3-7))</f>
        <v/>
      </c>
      <c r="J15" s="7" t="inlineStr">
        <is>
          <t>Price + transformation</t>
        </is>
      </c>
      <c r="K15" s="7" t="inlineStr">
        <is>
          <t>6 ads launched together: DevOps and AWS Solutions Architect training, one price-led ('₹9,999 + GST').</t>
        </is>
      </c>
      <c r="L15" s="7" t="inlineStr">
        <is>
          <t>Shows the DevOps-to-architect upskilling path. Our copy can say 'you've already done the course, now own the architecture'.</t>
        </is>
      </c>
    </row>
    <row r="16">
      <c r="A16" s="7" t="inlineStr">
        <is>
          <t>Console Flare</t>
        </is>
      </c>
      <c r="B16" s="8" t="inlineStr">
        <is>
          <t>331465344179561</t>
        </is>
      </c>
      <c r="C16" s="7" t="inlineStr">
        <is>
          <t>Edtech: working professionals</t>
        </is>
      </c>
      <c r="D16" s="7" t="inlineStr">
        <is>
          <t>Medium</t>
        </is>
      </c>
      <c r="E16" s="7">
        <f>COUNTIF('All Active Ads'!$A$5:$A$165,A16)</f>
        <v/>
      </c>
      <c r="F16" s="7" t="n">
        <v>3</v>
      </c>
      <c r="G16" s="9">
        <f>IF(E16=0,"–",_xlfn.MINIFS('All Active Ads'!$F$5:$F$165,'All Active Ads'!$A$5:$A$165,A16))</f>
        <v/>
      </c>
      <c r="H16" s="9">
        <f>IF(E16=0,"–",_xlfn.MAXIFS('All Active Ads'!$F$5:$F$165,'All Active Ads'!$A$5:$A$165,A16))</f>
        <v/>
      </c>
      <c r="I16" s="7">
        <f>COUNTIFS('All Active Ads'!$A$5:$A$165,A16,'All Active Ads'!$F$5:$F$165,"&gt;="&amp;($B$3-7))</f>
        <v/>
      </c>
      <c r="J16" s="7" t="inlineStr">
        <is>
          <t>Exclusivity</t>
        </is>
      </c>
      <c r="K16" s="7" t="inlineStr">
        <is>
          <t>14 ads, all 'For Working Professional(s) Only' or visual-only, all launched in the last 2 days.</t>
        </is>
      </c>
      <c r="L16" s="7" t="inlineStr">
        <is>
          <t>'Only for experienced people' works as a filter and a hook. Use '10+ years only' in our ads.</t>
        </is>
      </c>
    </row>
    <row r="17">
      <c r="A17" s="7" t="inlineStr">
        <is>
          <t>GUVI</t>
        </is>
      </c>
      <c r="B17" s="8" t="inlineStr">
        <is>
          <t>386984684662653</t>
        </is>
      </c>
      <c r="C17" s="7" t="inlineStr">
        <is>
          <t>Edtech: career courses</t>
        </is>
      </c>
      <c r="D17" s="7" t="inlineStr">
        <is>
          <t>Medium</t>
        </is>
      </c>
      <c r="E17" s="7">
        <f>COUNTIF('All Active Ads'!$A$5:$A$165,A17)</f>
        <v/>
      </c>
      <c r="F17" s="7" t="n">
        <v>9</v>
      </c>
      <c r="G17" s="9">
        <f>IF(E17=0,"–",_xlfn.MINIFS('All Active Ads'!$F$5:$F$165,'All Active Ads'!$A$5:$A$165,A17))</f>
        <v/>
      </c>
      <c r="H17" s="9">
        <f>IF(E17=0,"–",_xlfn.MAXIFS('All Active Ads'!$F$5:$F$165,'All Active Ads'!$A$5:$A$165,A17))</f>
        <v/>
      </c>
      <c r="I17" s="7">
        <f>COUNTIFS('All Active Ads'!$A$5:$A$165,A17,'All Active Ads'!$F$5:$F$165,"&gt;="&amp;($B$3-7))</f>
        <v/>
      </c>
      <c r="J17" s="7" t="inlineStr">
        <is>
          <t>Transformation + scarcity</t>
        </is>
      </c>
      <c r="K17" s="7" t="inlineStr">
        <is>
          <t>15 ads across AI engineer, DevOps and product management: '6 months', 'Only 20 Seats Left', 'Tamil &amp; English'.</t>
        </is>
      </c>
      <c r="L17" s="7" t="inlineStr">
        <is>
          <t>Scarcity is common. Ours is real: '2 roles'.</t>
        </is>
      </c>
    </row>
    <row r="18">
      <c r="A18" s="7" t="inlineStr">
        <is>
          <t>Nexverse Learning</t>
        </is>
      </c>
      <c r="B18" s="8" t="inlineStr">
        <is>
          <t>591969314010473</t>
        </is>
      </c>
      <c r="C18" s="7" t="inlineStr">
        <is>
          <t>Edtech: DevOps</t>
        </is>
      </c>
      <c r="D18" s="7" t="inlineStr">
        <is>
          <t>Medium</t>
        </is>
      </c>
      <c r="E18" s="7">
        <f>COUNTIF('All Active Ads'!$A$5:$A$165,A18)</f>
        <v/>
      </c>
      <c r="F18" s="7" t="n">
        <v>4</v>
      </c>
      <c r="G18" s="9">
        <f>IF(E18=0,"–",_xlfn.MINIFS('All Active Ads'!$F$5:$F$165,'All Active Ads'!$A$5:$A$165,A18))</f>
        <v/>
      </c>
      <c r="H18" s="9">
        <f>IF(E18=0,"–",_xlfn.MAXIFS('All Active Ads'!$F$5:$F$165,'All Active Ads'!$A$5:$A$165,A18))</f>
        <v/>
      </c>
      <c r="I18" s="7">
        <f>COUNTIFS('All Active Ads'!$A$5:$A$165,A18,'All Active Ads'!$F$5:$F$165,"&gt;="&amp;($B$3-7))</f>
        <v/>
      </c>
      <c r="J18" s="7" t="inlineStr">
        <is>
          <t>Transformation + webinar</t>
        </is>
      </c>
      <c r="K18" s="7" t="inlineStr">
        <is>
          <t>4 ads: DevOps webinar (Oct 3), 'Don't Just Learn DevOps. Become Production-Ready.'</t>
        </is>
      </c>
      <c r="L18" s="7" t="inlineStr">
        <is>
          <t>A webinar hook works for this audience. Consider a 'How we design landing zones' LinkedIn Live as an organic magnet.</t>
        </is>
      </c>
    </row>
    <row r="19">
      <c r="A19" s="7" t="inlineStr">
        <is>
          <t>Sprinted - Software Services</t>
        </is>
      </c>
      <c r="B19" s="8" t="inlineStr">
        <is>
          <t>1276977545488723</t>
        </is>
      </c>
      <c r="C19" s="7" t="inlineStr">
        <is>
          <t>Edtech: product-company switch</t>
        </is>
      </c>
      <c r="D19" s="7" t="inlineStr">
        <is>
          <t>Medium</t>
        </is>
      </c>
      <c r="E19" s="7">
        <f>COUNTIF('All Active Ads'!$A$5:$A$165,A19)</f>
        <v/>
      </c>
      <c r="F19" s="7" t="n">
        <v>0</v>
      </c>
      <c r="G19" s="9">
        <f>IF(E19=0,"–",_xlfn.MINIFS('All Active Ads'!$F$5:$F$165,'All Active Ads'!$A$5:$A$165,A19))</f>
        <v/>
      </c>
      <c r="H19" s="9">
        <f>IF(E19=0,"–",_xlfn.MAXIFS('All Active Ads'!$F$5:$F$165,'All Active Ads'!$A$5:$A$165,A19))</f>
        <v/>
      </c>
      <c r="I19" s="7">
        <f>COUNTIFS('All Active Ads'!$A$5:$A$165,A19,'All Active Ads'!$F$5:$F$165,"&gt;="&amp;($B$3-7))</f>
        <v/>
      </c>
      <c r="J19" s="7" t="inlineStr">
        <is>
          <t>Career switch</t>
        </is>
      </c>
      <c r="K19" s="7" t="inlineStr">
        <is>
          <t>Earlier ad 'Switch to Product-Based Companies' is no longer active.</t>
        </is>
      </c>
      <c r="L19" s="7" t="inlineStr">
        <is>
          <t>The services-to-product motive is real. Counter it with scope and decision rights.</t>
        </is>
      </c>
    </row>
    <row r="20">
      <c r="A20" s="7" t="inlineStr">
        <is>
          <t>Iconic Options</t>
        </is>
      </c>
      <c r="B20" s="8" t="inlineStr">
        <is>
          <t>1022000921003672</t>
        </is>
      </c>
      <c r="C20" s="7" t="inlineStr">
        <is>
          <t>Real-estate listings (1 IT hiring ad)</t>
        </is>
      </c>
      <c r="D20" s="7" t="inlineStr">
        <is>
          <t>Low</t>
        </is>
      </c>
      <c r="E20" s="7">
        <f>COUNTIF('All Active Ads'!$A$5:$A$165,A20)</f>
        <v/>
      </c>
      <c r="F20" s="7" t="n">
        <v>15</v>
      </c>
      <c r="G20" s="9">
        <f>IF(E20=0,"–",_xlfn.MINIFS('All Active Ads'!$F$5:$F$165,'All Active Ads'!$A$5:$A$165,A20))</f>
        <v/>
      </c>
      <c r="H20" s="9">
        <f>IF(E20=0,"–",_xlfn.MAXIFS('All Active Ads'!$F$5:$F$165,'All Active Ads'!$A$5:$A$165,A20))</f>
        <v/>
      </c>
      <c r="I20" s="7">
        <f>COUNTIFS('All Active Ads'!$A$5:$A$165,A20,'All Active Ads'!$F$5:$F$165,"&gt;="&amp;($B$3-7))</f>
        <v/>
      </c>
      <c r="J20" s="7" t="inlineStr">
        <is>
          <t>Real-estate offers</t>
        </is>
      </c>
      <c r="K20" s="7" t="inlineStr">
        <is>
          <t>Mostly property ads. The one IT hiring ad ('6–8 Years') looks like a one-off for a client.</t>
        </is>
      </c>
      <c r="L20" s="7" t="inlineStr">
        <is>
          <t>Not a real competitor. Only the experience-in-headline pattern is useful.</t>
        </is>
      </c>
    </row>
    <row r="21">
      <c r="A21" s="10" t="inlineStr">
        <is>
          <t>Total</t>
        </is>
      </c>
      <c r="E21" s="10">
        <f>SUM(E6:E20)</f>
        <v/>
      </c>
      <c r="I21" s="10">
        <f>SUM(I6:I20)</f>
        <v/>
      </c>
    </row>
  </sheetData>
  <mergeCells count="1">
    <mergeCell ref="A2:L2"/>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48" customWidth="1" min="1" max="1"/>
    <col width="60" customWidth="1" min="2" max="2"/>
    <col width="60" customWidth="1" min="3" max="3"/>
  </cols>
  <sheetData>
    <row r="1">
      <c r="A1" s="11" t="inlineStr">
        <is>
          <t>Finding</t>
        </is>
      </c>
      <c r="B1" s="11" t="inlineStr">
        <is>
          <t>Evidence</t>
        </is>
      </c>
      <c r="C1" s="11" t="inlineStr">
        <is>
          <t>What Zarthi should do</t>
        </is>
      </c>
    </row>
    <row r="2">
      <c r="A2" s="12" t="inlineStr">
        <is>
          <t>Almost no employer is advertising senior cloud roles on Meta in India.</t>
        </is>
      </c>
      <c r="B2" s="12" t="inlineStr">
        <is>
          <t>Only 6 employer hiring ads across 15 advertisers (160 active ads); none for cloud architects.</t>
        </is>
      </c>
      <c r="C2" s="12" t="inlineStr">
        <is>
          <t>Low competition for a real job message. A clear job ad will stand out.</t>
        </is>
      </c>
    </row>
    <row r="3">
      <c r="A3" s="12" t="inlineStr">
        <is>
          <t>The feed is dominated by courses promising the same job title.</t>
        </is>
      </c>
      <c r="B3" s="12" t="inlineStr">
        <is>
          <t>EdYoda alone runs 40+ 'Become a CERTIFIED …' ads incl. Multicloud and AI Solutions Architect; plus R9ST, GUVI, Console Flare and SSD.</t>
        </is>
      </c>
      <c r="C3" s="12" t="inlineStr">
        <is>
          <t>Open with 'Zarthi is hiring' and 'this is a job, not a course'. Put company, city and years in the headline.</t>
        </is>
      </c>
    </row>
    <row r="4">
      <c r="A4" s="12" t="inlineStr">
        <is>
          <t>A course is targeting exactly our seniority.</t>
        </is>
      </c>
      <c r="B4" s="12" t="inlineStr">
        <is>
          <t>SSD ad: 'Only for 10+ Years Software Engineers', Apply Now, carousel.</t>
        </is>
      </c>
      <c r="C4" s="12" t="inlineStr">
        <is>
          <t>Frame the role as the real thing: 'You don't need another course. You need the architecture seat.'</t>
        </is>
      </c>
    </row>
    <row r="5">
      <c r="A5" s="12" t="inlineStr">
        <is>
          <t>Experience-first headlines are the standard hiring format.</t>
        </is>
      </c>
      <c r="B5" s="12" t="inlineStr">
        <is>
          <t>Nowwin: '7+ Years?', '10+ Years PeopleSoft Experience?'; Prism: '6+ Years'; Iconic: '6–8 Years'.</t>
        </is>
      </c>
      <c r="C5" s="12" t="inlineStr">
        <is>
          <t>Headline: '10+ years in cloud? We're hiring 2 Cloud Architects.'</t>
        </is>
      </c>
    </row>
    <row r="6">
      <c r="A6" s="12" t="inlineStr">
        <is>
          <t>Advertisers test many variants of one message and refresh often.</t>
        </is>
      </c>
      <c r="B6" s="12" t="inlineStr">
        <is>
          <t>hirist: 23 ads with 'Free to apply. Takes 2 minutes'; Console Flare and EdYoda launch several new ads a day.</t>
        </is>
      </c>
      <c r="C6" s="12" t="inlineStr">
        <is>
          <t>Launch at least 3 variants per angle and refresh weekly, as the SOP requires.</t>
        </is>
      </c>
    </row>
    <row r="7">
      <c r="A7" s="12" t="inlineStr">
        <is>
          <t>Low-friction and local messages are used to reach this audience.</t>
        </is>
      </c>
      <c r="B7" s="12" t="inlineStr">
        <is>
          <t>hirist: 'Takes 2 minutes', 'Find Tech Jobs Closer to Home', 'Bengaluru's Top Hiring Day'.</t>
        </is>
      </c>
      <c r="C7" s="12" t="inlineStr">
        <is>
          <t>Say 'No CV, 60-second form'. Run city-specific versions for Noida, Bangalore and Trivandrum.</t>
        </is>
      </c>
    </row>
    <row r="8">
      <c r="A8" s="12" t="inlineStr">
        <is>
          <t>Architects respond to technical depth.</t>
        </is>
      </c>
      <c r="B8" s="12" t="inlineStr">
        <is>
          <t>Open Source India runs 22+ ads listing talk titles (Kubernetes, observability, FOSS migration from Oracle).</t>
        </is>
      </c>
      <c r="C8" s="12" t="inlineStr">
        <is>
          <t>Organic: architecture-challenge posts, a technical carousel, and meetup/event presence.</t>
        </is>
      </c>
    </row>
    <row r="9">
      <c r="A9" s="12" t="inlineStr">
        <is>
          <t>Meta's Employment category can't exclude course-seekers.</t>
        </is>
      </c>
      <c r="B9" s="12" t="inlineStr">
        <is>
          <t>The same interest pool is saturated with upskilling ads.</t>
        </is>
      </c>
      <c r="C9" s="12" t="inlineStr">
        <is>
          <t>Let the 10-years and 2-clouds form questions filter. Keep LinkedIn as the main paid channel.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0"/>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 customWidth="1" min="1" max="1"/>
    <col width="15" customWidth="1" min="2" max="2"/>
    <col width="26" customWidth="1" min="3" max="3"/>
    <col width="19" customWidth="1" min="4" max="4"/>
    <col width="36" customWidth="1" min="5" max="5"/>
    <col width="55" customWidth="1" min="6" max="6"/>
    <col width="26" customWidth="1" min="7" max="7"/>
    <col width="13" customWidth="1" min="8" max="8"/>
    <col width="40" customWidth="1" min="9" max="9"/>
    <col width="40" customWidth="1" min="10" max="10"/>
    <col width="10" customWidth="1" min="11" max="11"/>
  </cols>
  <sheetData>
    <row r="1">
      <c r="A1" s="1" t="inlineStr">
        <is>
          <t>The 16 most relevant ads, with full copy where available</t>
        </is>
      </c>
    </row>
    <row r="2" ht="28" customHeight="1">
      <c r="A2" s="2" t="inlineStr">
        <is>
          <t>Caption, Description and CTA come from the Ad Library page itself. Filled where Zarthi's team supplied screenshots; yellow = still to capture.</t>
        </is>
      </c>
    </row>
    <row r="4">
      <c r="A4" s="6" t="inlineStr">
        <is>
          <t>#</t>
        </is>
      </c>
      <c r="B4" s="6" t="inlineStr">
        <is>
          <t>Type</t>
        </is>
      </c>
      <c r="C4" s="6" t="inlineStr">
        <is>
          <t>Advertiser</t>
        </is>
      </c>
      <c r="D4" s="6" t="inlineStr">
        <is>
          <t>Ad ID</t>
        </is>
      </c>
      <c r="E4" s="6" t="inlineStr">
        <is>
          <t>Headline</t>
        </is>
      </c>
      <c r="F4" s="6" t="inlineStr">
        <is>
          <t>Primary text / Caption</t>
        </is>
      </c>
      <c r="G4" s="6" t="inlineStr">
        <is>
          <t>Link description</t>
        </is>
      </c>
      <c r="H4" s="6" t="inlineStr">
        <is>
          <t>CTA button</t>
        </is>
      </c>
      <c r="I4" s="6" t="inlineStr">
        <is>
          <t>Format / on-image text</t>
        </is>
      </c>
      <c r="J4" s="6" t="inlineStr">
        <is>
          <t>Why it matters</t>
        </is>
      </c>
      <c r="K4" s="6" t="inlineStr">
        <is>
          <t>Ad Library link</t>
        </is>
      </c>
    </row>
    <row r="5">
      <c r="A5" s="7" t="n">
        <v>1</v>
      </c>
      <c r="B5" s="7" t="inlineStr">
        <is>
          <t>A · Hiring</t>
        </is>
      </c>
      <c r="C5" s="7" t="inlineStr">
        <is>
          <t>Nowwin Technologies</t>
        </is>
      </c>
      <c r="D5" s="8" t="inlineStr">
        <is>
          <t>1766087137959969</t>
        </is>
      </c>
      <c r="E5" s="7" t="inlineStr">
        <is>
          <t>7+ Years? Apply for SPM Architect</t>
        </is>
      </c>
      <c r="F5" s="13" t="inlineStr"/>
      <c r="G5" s="13" t="inlineStr"/>
      <c r="H5" s="13" t="inlineStr"/>
      <c r="I5" s="13" t="inlineStr"/>
      <c r="J5" s="7" t="inlineStr">
        <is>
          <t>Senior architect role, experience-first headline</t>
        </is>
      </c>
      <c r="K5" s="14" t="inlineStr">
        <is>
          <t>Open ad</t>
        </is>
      </c>
    </row>
    <row r="6">
      <c r="A6" s="7" t="n">
        <v>2</v>
      </c>
      <c r="B6" s="7" t="inlineStr">
        <is>
          <t>A · Hiring</t>
        </is>
      </c>
      <c r="C6" s="7" t="inlineStr">
        <is>
          <t>Nowwin Technologies</t>
        </is>
      </c>
      <c r="D6" s="8" t="inlineStr">
        <is>
          <t>4506695909546073</t>
        </is>
      </c>
      <c r="E6" s="7" t="inlineStr">
        <is>
          <t>10+ Years PeopleSoft Experience? Apply Now</t>
        </is>
      </c>
      <c r="F6" s="13" t="inlineStr"/>
      <c r="G6" s="13" t="inlineStr"/>
      <c r="H6" s="13" t="inlineStr"/>
      <c r="I6" s="13" t="inlineStr"/>
      <c r="J6" s="7" t="inlineStr">
        <is>
          <t>'10+ Years?' opener, same as our plan</t>
        </is>
      </c>
      <c r="K6" s="14" t="inlineStr">
        <is>
          <t>Open ad</t>
        </is>
      </c>
    </row>
    <row r="7">
      <c r="A7" s="7" t="n">
        <v>3</v>
      </c>
      <c r="B7" s="7" t="inlineStr">
        <is>
          <t>A · Hiring</t>
        </is>
      </c>
      <c r="C7" s="7" t="inlineStr">
        <is>
          <t>Iconic Options</t>
        </is>
      </c>
      <c r="D7" s="8" t="inlineStr">
        <is>
          <t>1142990505055359</t>
        </is>
      </c>
      <c r="E7" s="7" t="inlineStr">
        <is>
          <t>Hiring IT Professionals | 6–8 Years</t>
        </is>
      </c>
      <c r="F7" s="13" t="inlineStr"/>
      <c r="G7" s="13" t="inlineStr"/>
      <c r="H7" s="13" t="inlineStr"/>
      <c r="I7" s="13" t="inlineStr"/>
      <c r="J7" s="7" t="inlineStr">
        <is>
          <t>Experience range in headline (one-off)</t>
        </is>
      </c>
      <c r="K7" s="14" t="inlineStr">
        <is>
          <t>Open ad</t>
        </is>
      </c>
    </row>
    <row r="8">
      <c r="A8" s="7" t="n">
        <v>4</v>
      </c>
      <c r="B8" s="7" t="inlineStr">
        <is>
          <t>A · Hiring</t>
        </is>
      </c>
      <c r="C8" s="7" t="inlineStr">
        <is>
          <t>Prism IT Hub</t>
        </is>
      </c>
      <c r="D8" s="8" t="inlineStr">
        <is>
          <t>1570863821744505</t>
        </is>
      </c>
      <c r="E8" s="7" t="inlineStr">
        <is>
          <t>TCS Hiring | 6+ Years | Apply Now</t>
        </is>
      </c>
      <c r="F8" s="13" t="inlineStr"/>
      <c r="G8" s="13" t="inlineStr"/>
      <c r="H8" s="13" t="inlineStr"/>
      <c r="I8" s="13" t="inlineStr"/>
      <c r="J8" s="7" t="inlineStr">
        <is>
          <t>Big-employer name + 6+ yrs</t>
        </is>
      </c>
      <c r="K8" s="14" t="inlineStr">
        <is>
          <t>Open ad</t>
        </is>
      </c>
    </row>
    <row r="9">
      <c r="A9" s="7" t="n">
        <v>5</v>
      </c>
      <c r="B9" s="7" t="inlineStr">
        <is>
          <t>A · Hiring</t>
        </is>
      </c>
      <c r="C9" s="7" t="inlineStr">
        <is>
          <t>hirist.tech</t>
        </is>
      </c>
      <c r="D9" s="8" t="inlineStr">
        <is>
          <t>1424325016466491</t>
        </is>
      </c>
      <c r="E9" s="7" t="inlineStr">
        <is>
          <t>ARMPL / Solution Analysts / Clovio IT Consulting / Scout Incorporation / Career Infosystem / Happiest Minds is hiring | Apply now</t>
        </is>
      </c>
      <c r="F9" s="13" t="inlineStr"/>
      <c r="G9" s="13" t="inlineStr"/>
      <c r="H9" s="13" t="inlineStr"/>
      <c r="I9" s="13" t="inlineStr"/>
      <c r="J9" s="7" t="inlineStr">
        <is>
          <t>Job board buying our audience</t>
        </is>
      </c>
      <c r="K9" s="14" t="inlineStr">
        <is>
          <t>Open ad</t>
        </is>
      </c>
    </row>
    <row r="10">
      <c r="A10" s="7" t="n">
        <v>6</v>
      </c>
      <c r="B10" s="7" t="inlineStr">
        <is>
          <t>A · Hiring</t>
        </is>
      </c>
      <c r="C10" s="7" t="inlineStr">
        <is>
          <t>FPA AI</t>
        </is>
      </c>
      <c r="D10" s="8" t="inlineStr">
        <is>
          <t>28796808946621878</t>
        </is>
      </c>
      <c r="E10" s="7" t="inlineStr">
        <is>
          <t>Enterprise Technology &amp; AI Advisory | Join US! | In Digital Transformation | Of Our Offerings | Scan QR</t>
        </is>
      </c>
      <c r="F10" s="13" t="inlineStr"/>
      <c r="G10" s="13" t="inlineStr"/>
      <c r="H10" s="13" t="inlineStr"/>
      <c r="I10" s="13" t="inlineStr"/>
      <c r="J10" s="7" t="inlineStr">
        <is>
          <t>Closest business match to Zarthi</t>
        </is>
      </c>
      <c r="K10" s="14" t="inlineStr">
        <is>
          <t>Open ad</t>
        </is>
      </c>
    </row>
    <row r="11">
      <c r="A11" s="7" t="n">
        <v>7</v>
      </c>
      <c r="B11" s="7" t="inlineStr">
        <is>
          <t>A · Hiring</t>
        </is>
      </c>
      <c r="C11" s="7" t="inlineStr">
        <is>
          <t>Exano Technologies</t>
        </is>
      </c>
      <c r="D11" s="8" t="inlineStr">
        <is>
          <t>1374769798168339</t>
        </is>
      </c>
      <c r="E11" s="7" t="inlineStr">
        <is>
          <t>Upload your resume</t>
        </is>
      </c>
      <c r="F11" s="13" t="inlineStr"/>
      <c r="G11" s="13" t="inlineStr"/>
      <c r="H11" s="13" t="inlineStr"/>
      <c r="I11" s="13" t="inlineStr"/>
      <c r="J11" s="7" t="inlineStr">
        <is>
          <t>CV-upload friction</t>
        </is>
      </c>
      <c r="K11" s="14" t="inlineStr">
        <is>
          <t>Open ad</t>
        </is>
      </c>
    </row>
    <row r="12">
      <c r="A12" s="7" t="n">
        <v>8</v>
      </c>
      <c r="B12" s="7" t="inlineStr">
        <is>
          <t>A · Hiring</t>
        </is>
      </c>
      <c r="C12" s="7" t="inlineStr">
        <is>
          <t>Technopark, Trivandrum</t>
        </is>
      </c>
      <c r="D12" s="8" t="inlineStr">
        <is>
          <t>2217098326355842</t>
        </is>
      </c>
      <c r="E12" s="7" t="inlineStr">
        <is>
          <t>(no headline)</t>
        </is>
      </c>
      <c r="F12" s="13" t="inlineStr"/>
      <c r="G12" s="13" t="inlineStr"/>
      <c r="H12" s="13" t="inlineStr"/>
      <c r="I12" s="13" t="inlineStr"/>
      <c r="J12" s="7" t="inlineStr">
        <is>
          <t>Trivandrum tech workforce</t>
        </is>
      </c>
      <c r="K12" s="14" t="inlineStr">
        <is>
          <t>Open ad</t>
        </is>
      </c>
    </row>
    <row r="13">
      <c r="A13" s="7" t="n">
        <v>9</v>
      </c>
      <c r="B13" s="7" t="inlineStr">
        <is>
          <t>B · Same audience</t>
        </is>
      </c>
      <c r="C13" s="7" t="inlineStr">
        <is>
          <t>EdYoda</t>
        </is>
      </c>
      <c r="D13" s="8" t="inlineStr">
        <is>
          <t>1443197407729118</t>
        </is>
      </c>
      <c r="E13" s="7" t="inlineStr">
        <is>
          <t>👉Become a CERTIFIED MULTICLOUD ARCHITECT🚀</t>
        </is>
      </c>
      <c r="F13" s="13" t="inlineStr"/>
      <c r="G13" s="13" t="inlineStr"/>
      <c r="H13" s="13" t="inlineStr"/>
      <c r="I13" s="13" t="inlineStr"/>
      <c r="J13" s="7" t="inlineStr">
        <is>
          <t>Course noise using 'Multicloud Architect'</t>
        </is>
      </c>
      <c r="K13" s="14" t="inlineStr">
        <is>
          <t>Open ad</t>
        </is>
      </c>
    </row>
    <row r="14">
      <c r="A14" s="7" t="n">
        <v>10</v>
      </c>
      <c r="B14" s="7" t="inlineStr">
        <is>
          <t>B · Same audience</t>
        </is>
      </c>
      <c r="C14" s="7" t="inlineStr">
        <is>
          <t>R9ST IT Academy</t>
        </is>
      </c>
      <c r="D14" s="8" t="inlineStr">
        <is>
          <t>2769022723493673</t>
        </is>
      </c>
      <c r="E14" s="7" t="inlineStr">
        <is>
          <t>Live AWS Solutions Architect Training</t>
        </is>
      </c>
      <c r="F14" s="13" t="inlineStr"/>
      <c r="G14" s="13" t="inlineStr"/>
      <c r="H14" s="13" t="inlineStr"/>
      <c r="I14" s="13" t="inlineStr"/>
      <c r="J14" s="7" t="inlineStr">
        <is>
          <t>AWS Solutions Architect training</t>
        </is>
      </c>
      <c r="K14" s="14" t="inlineStr">
        <is>
          <t>Open ad</t>
        </is>
      </c>
    </row>
    <row r="15">
      <c r="A15" s="7" t="n">
        <v>11</v>
      </c>
      <c r="B15" s="7" t="inlineStr">
        <is>
          <t>B · Same audience</t>
        </is>
      </c>
      <c r="C15" s="7" t="inlineStr">
        <is>
          <t>Software System Design/Architecture Interview</t>
        </is>
      </c>
      <c r="D15" s="8" t="inlineStr">
        <is>
          <t>1644512954128194</t>
        </is>
      </c>
      <c r="E15" s="7" t="inlineStr">
        <is>
          <t>Become an Strong Software Architect</t>
        </is>
      </c>
      <c r="F15" s="7" t="inlineStr">
        <is>
          <t>Software Architects don't just earn more they think differently. Don't Code throughout the year and call yourself an Architect, you're a Senior Software Engineer not an Architect. Become a Real Software Architect with this course. / “This Training is Only for 10+ Years Software Engineers | Limited Batch | Serious Learners Only”. Training has AI and cloud also as one package and cloud and ai is also present and optional. All classes are live and recorded also. … (truncated in Ad Library)</t>
        </is>
      </c>
      <c r="G15" s="7" t="inlineStr">
        <is>
          <t>FB.ME · Become an Strong Software Architect</t>
        </is>
      </c>
      <c r="H15" s="7" t="inlineStr">
        <is>
          <t>Apply Now</t>
        </is>
      </c>
      <c r="I15" s="7" t="inlineStr">
        <is>
          <t>Carousel (3+ cards). Card 1: 'Software Architects Don't Just Earn More - They Think Differently. Learn How?!' Card 2: 'Dont Be a Coder or Designer - Be a Software Architect with AI Knowledge' (Flying stocks technologies). Card 3: '…Software Architect… REGISTER'</t>
        </is>
      </c>
      <c r="J15" s="7" t="inlineStr">
        <is>
          <t>'Only for 10+ Years' — exactly our seniority</t>
        </is>
      </c>
      <c r="K15" s="14" t="inlineStr">
        <is>
          <t>Open ad</t>
        </is>
      </c>
    </row>
    <row r="16">
      <c r="A16" s="7" t="n">
        <v>12</v>
      </c>
      <c r="B16" s="7" t="inlineStr">
        <is>
          <t>B · Same audience</t>
        </is>
      </c>
      <c r="C16" s="7" t="inlineStr">
        <is>
          <t>Console Flare</t>
        </is>
      </c>
      <c r="D16" s="8" t="inlineStr">
        <is>
          <t>1584154803195990</t>
        </is>
      </c>
      <c r="E16" s="7" t="inlineStr">
        <is>
          <t>For Working Professionals Only</t>
        </is>
      </c>
      <c r="F16" s="13" t="inlineStr"/>
      <c r="G16" s="13" t="inlineStr"/>
      <c r="H16" s="13" t="inlineStr"/>
      <c r="I16" s="13" t="inlineStr"/>
      <c r="J16" s="7" t="inlineStr">
        <is>
          <t>Exclusivity hook</t>
        </is>
      </c>
      <c r="K16" s="14" t="inlineStr">
        <is>
          <t>Open ad</t>
        </is>
      </c>
    </row>
    <row r="17">
      <c r="A17" s="7" t="n">
        <v>13</v>
      </c>
      <c r="B17" s="7" t="inlineStr">
        <is>
          <t>B · Same audience</t>
        </is>
      </c>
      <c r="C17" s="7" t="inlineStr">
        <is>
          <t>GUVI</t>
        </is>
      </c>
      <c r="D17" s="8" t="inlineStr">
        <is>
          <t>1059681169841736</t>
        </is>
      </c>
      <c r="E17" s="7" t="inlineStr">
        <is>
          <t>Only For Working Professionals</t>
        </is>
      </c>
      <c r="F17" s="13" t="inlineStr"/>
      <c r="G17" s="13" t="inlineStr"/>
      <c r="H17" s="13" t="inlineStr"/>
      <c r="I17" s="13" t="inlineStr"/>
      <c r="J17" s="7" t="inlineStr">
        <is>
          <t>Exclusivity hook, bigger brand</t>
        </is>
      </c>
      <c r="K17" s="14" t="inlineStr">
        <is>
          <t>Open ad</t>
        </is>
      </c>
    </row>
    <row r="18">
      <c r="A18" s="7" t="n">
        <v>14</v>
      </c>
      <c r="B18" s="7" t="inlineStr">
        <is>
          <t>B · Same audience</t>
        </is>
      </c>
      <c r="C18" s="7" t="inlineStr">
        <is>
          <t>Sprinted - Software Services</t>
        </is>
      </c>
      <c r="D18" s="8" t="inlineStr">
        <is>
          <t>1857077995471994</t>
        </is>
      </c>
      <c r="E18" s="7" t="inlineStr">
        <is>
          <t>Become an AI-First Data Engineer | Switch to Product-Based Companies</t>
        </is>
      </c>
      <c r="F18" s="13" t="inlineStr"/>
      <c r="G18" s="13" t="inlineStr"/>
      <c r="H18" s="13" t="inlineStr"/>
      <c r="I18" s="13" t="inlineStr"/>
      <c r="J18" s="7" t="inlineStr">
        <is>
          <t>Services → product motive (no longer active)</t>
        </is>
      </c>
      <c r="K18" s="14" t="inlineStr">
        <is>
          <t>Open ad</t>
        </is>
      </c>
    </row>
    <row r="19">
      <c r="A19" s="7" t="n">
        <v>15</v>
      </c>
      <c r="B19" s="7" t="inlineStr">
        <is>
          <t>B · Same audience</t>
        </is>
      </c>
      <c r="C19" s="7" t="inlineStr">
        <is>
          <t>Nexverse Learning</t>
        </is>
      </c>
      <c r="D19" s="8" t="inlineStr">
        <is>
          <t>1493454822791932</t>
        </is>
      </c>
      <c r="E19" s="7" t="inlineStr">
        <is>
          <t>Don't Just Learn DevOps. Become Production-Ready.</t>
        </is>
      </c>
      <c r="F19" s="13" t="inlineStr"/>
      <c r="G19" s="13" t="inlineStr"/>
      <c r="H19" s="13" t="inlineStr"/>
      <c r="I19" s="13" t="inlineStr"/>
      <c r="J19" s="7" t="inlineStr">
        <is>
          <t>Contrast hook</t>
        </is>
      </c>
      <c r="K19" s="14" t="inlineStr">
        <is>
          <t>Open ad</t>
        </is>
      </c>
    </row>
    <row r="20">
      <c r="A20" s="7" t="n">
        <v>16</v>
      </c>
      <c r="B20" s="7" t="inlineStr">
        <is>
          <t>B · Same audience</t>
        </is>
      </c>
      <c r="C20" s="7" t="inlineStr">
        <is>
          <t>Open Source India</t>
        </is>
      </c>
      <c r="D20" s="8" t="inlineStr">
        <is>
          <t>1758578985420711</t>
        </is>
      </c>
      <c r="E20" s="7" t="inlineStr">
        <is>
          <t>Built to Scale | DuckDB engine for MariaDB | Data Architecture for Agentic AI Systems</t>
        </is>
      </c>
      <c r="F20" s="13" t="inlineStr"/>
      <c r="G20" s="13" t="inlineStr"/>
      <c r="H20" s="13" t="inlineStr"/>
      <c r="I20" s="13" t="inlineStr"/>
      <c r="J20" s="7" t="inlineStr">
        <is>
          <t>Architects' conference</t>
        </is>
      </c>
      <c r="K20" s="14" t="inlineStr">
        <is>
          <t>Open ad</t>
        </is>
      </c>
    </row>
  </sheetData>
  <mergeCells count="1">
    <mergeCell ref="A2:K2"/>
  </mergeCells>
  <hyperlinks>
    <hyperlink xmlns:r="http://schemas.openxmlformats.org/officeDocument/2006/relationships" ref="K5" r:id="rId1"/>
    <hyperlink xmlns:r="http://schemas.openxmlformats.org/officeDocument/2006/relationships" ref="K6" r:id="rId2"/>
    <hyperlink xmlns:r="http://schemas.openxmlformats.org/officeDocument/2006/relationships" ref="K7" r:id="rId3"/>
    <hyperlink xmlns:r="http://schemas.openxmlformats.org/officeDocument/2006/relationships" ref="K8" r:id="rId4"/>
    <hyperlink xmlns:r="http://schemas.openxmlformats.org/officeDocument/2006/relationships" ref="K9" r:id="rId5"/>
    <hyperlink xmlns:r="http://schemas.openxmlformats.org/officeDocument/2006/relationships" ref="K10" r:id="rId6"/>
    <hyperlink xmlns:r="http://schemas.openxmlformats.org/officeDocument/2006/relationships" ref="K11" r:id="rId7"/>
    <hyperlink xmlns:r="http://schemas.openxmlformats.org/officeDocument/2006/relationships" ref="K12" r:id="rId8"/>
    <hyperlink xmlns:r="http://schemas.openxmlformats.org/officeDocument/2006/relationships" ref="K13" r:id="rId9"/>
    <hyperlink xmlns:r="http://schemas.openxmlformats.org/officeDocument/2006/relationships" ref="K14" r:id="rId10"/>
    <hyperlink xmlns:r="http://schemas.openxmlformats.org/officeDocument/2006/relationships" ref="K15" r:id="rId11"/>
    <hyperlink xmlns:r="http://schemas.openxmlformats.org/officeDocument/2006/relationships" ref="K16" r:id="rId12"/>
    <hyperlink xmlns:r="http://schemas.openxmlformats.org/officeDocument/2006/relationships" ref="K17" r:id="rId13"/>
    <hyperlink xmlns:r="http://schemas.openxmlformats.org/officeDocument/2006/relationships" ref="K18" r:id="rId14"/>
    <hyperlink xmlns:r="http://schemas.openxmlformats.org/officeDocument/2006/relationships" ref="K19" r:id="rId15"/>
    <hyperlink xmlns:r="http://schemas.openxmlformats.org/officeDocument/2006/relationships" ref="K20" r:id="rId16"/>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6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30" customWidth="1" min="1" max="1"/>
    <col width="24" customWidth="1" min="2" max="2"/>
    <col width="17" customWidth="1" min="3" max="3"/>
    <col width="20" customWidth="1" min="4" max="4"/>
    <col width="60" customWidth="1" min="5" max="5"/>
    <col width="13" customWidth="1" min="6" max="6"/>
    <col width="9" customWidth="1" min="7" max="7"/>
    <col width="28" customWidth="1" min="8" max="8"/>
    <col width="11" customWidth="1" min="9" max="9"/>
  </cols>
  <sheetData>
    <row r="1">
      <c r="A1" s="1" t="inlineStr">
        <is>
          <t>Every active ad found for the 15 advertisers (India)</t>
        </is>
      </c>
    </row>
    <row r="2" ht="28" customHeight="1">
      <c r="A2" s="2" t="inlineStr">
        <is>
          <t>One row per ad. 'Headline pattern' is my classification of the headline. Caption, description and CTA are not returned by Meta's Ad Library tool; see 'Top 16 Ads' for filled examples.</t>
        </is>
      </c>
    </row>
    <row r="4">
      <c r="A4" s="6" t="inlineStr">
        <is>
          <t>Advertiser</t>
        </is>
      </c>
      <c r="B4" s="6" t="inlineStr">
        <is>
          <t>Category</t>
        </is>
      </c>
      <c r="C4" s="6" t="inlineStr">
        <is>
          <t>Page ID</t>
        </is>
      </c>
      <c r="D4" s="6" t="inlineStr">
        <is>
          <t>Ad ID</t>
        </is>
      </c>
      <c r="E4" s="6" t="inlineStr">
        <is>
          <t>Headline (as returned by Meta)</t>
        </is>
      </c>
      <c r="F4" s="6" t="inlineStr">
        <is>
          <t>Delivery started</t>
        </is>
      </c>
      <c r="G4" s="6" t="inlineStr">
        <is>
          <t>Days live</t>
        </is>
      </c>
      <c r="H4" s="6" t="inlineStr">
        <is>
          <t>Headline pattern</t>
        </is>
      </c>
      <c r="I4" s="6" t="inlineStr">
        <is>
          <t>Ad Library link</t>
        </is>
      </c>
    </row>
    <row r="5">
      <c r="A5" s="7" t="inlineStr">
        <is>
          <t>Nowwin Technologies</t>
        </is>
      </c>
      <c r="B5" s="7" t="inlineStr">
        <is>
          <t>Hiring (IT)</t>
        </is>
      </c>
      <c r="C5" s="8" t="inlineStr">
        <is>
          <t>851245194944831</t>
        </is>
      </c>
      <c r="D5" s="8" t="inlineStr">
        <is>
          <t>1766087137959969</t>
        </is>
      </c>
      <c r="E5" s="7" t="inlineStr">
        <is>
          <t>7+ Years? Apply for SPM Architect</t>
        </is>
      </c>
      <c r="F5" s="9" t="n">
        <v>46291</v>
      </c>
      <c r="G5" s="15">
        <f>'Competitor Summary'!$B$3-F5</f>
        <v/>
      </c>
      <c r="H5" s="7" t="inlineStr">
        <is>
          <t>Experience call-out</t>
        </is>
      </c>
      <c r="I5" s="14" t="inlineStr">
        <is>
          <t>Open ad</t>
        </is>
      </c>
    </row>
    <row r="6">
      <c r="A6" s="7" t="inlineStr">
        <is>
          <t>Nowwin Technologies</t>
        </is>
      </c>
      <c r="B6" s="7" t="inlineStr">
        <is>
          <t>Hiring (IT)</t>
        </is>
      </c>
      <c r="C6" s="8" t="inlineStr">
        <is>
          <t>851245194944831</t>
        </is>
      </c>
      <c r="D6" s="8" t="inlineStr">
        <is>
          <t>4506695909546073</t>
        </is>
      </c>
      <c r="E6" s="7" t="inlineStr">
        <is>
          <t>10+ Years PeopleSoft Experience? Apply Now</t>
        </is>
      </c>
      <c r="F6" s="9" t="n">
        <v>46290</v>
      </c>
      <c r="G6" s="15">
        <f>'Competitor Summary'!$B$3-F6</f>
        <v/>
      </c>
      <c r="H6" s="7" t="inlineStr">
        <is>
          <t>Experience call-out</t>
        </is>
      </c>
      <c r="I6" s="14" t="inlineStr">
        <is>
          <t>Open ad</t>
        </is>
      </c>
    </row>
    <row r="7">
      <c r="A7" s="7" t="inlineStr">
        <is>
          <t>FPA AI</t>
        </is>
      </c>
      <c r="B7" s="7" t="inlineStr">
        <is>
          <t>Hiring (tech consulting)</t>
        </is>
      </c>
      <c r="C7" s="8" t="inlineStr">
        <is>
          <t>1412353528623168</t>
        </is>
      </c>
      <c r="D7" s="8" t="inlineStr">
        <is>
          <t>28796808946621878</t>
        </is>
      </c>
      <c r="E7" s="7" t="inlineStr">
        <is>
          <t>Enterprise Technology &amp; AI Advisory | Join US! | In Digital Transformation | Of Our Offerings | Scan QR</t>
        </is>
      </c>
      <c r="F7" s="9" t="n">
        <v>46292</v>
      </c>
      <c r="G7" s="15">
        <f>'Competitor Summary'!$B$3-F7</f>
        <v/>
      </c>
      <c r="H7" s="7" t="inlineStr">
        <is>
          <t>Job / hiring offer</t>
        </is>
      </c>
      <c r="I7" s="14" t="inlineStr">
        <is>
          <t>Open ad</t>
        </is>
      </c>
    </row>
    <row r="8">
      <c r="A8" s="7" t="inlineStr">
        <is>
          <t>hirist.tech</t>
        </is>
      </c>
      <c r="B8" s="7" t="inlineStr">
        <is>
          <t>Tech job board</t>
        </is>
      </c>
      <c r="C8" s="8" t="inlineStr">
        <is>
          <t>446429982057859</t>
        </is>
      </c>
      <c r="D8" s="8" t="inlineStr">
        <is>
          <t>1367714948903718</t>
        </is>
      </c>
      <c r="E8" s="7" t="inlineStr">
        <is>
          <t>Bengaluru’s Top Hiring Day</t>
        </is>
      </c>
      <c r="F8" s="9" t="n">
        <v>46290</v>
      </c>
      <c r="G8" s="15">
        <f>'Competitor Summary'!$B$3-F8</f>
        <v/>
      </c>
      <c r="H8" s="7" t="inlineStr">
        <is>
          <t>Job / hiring offer</t>
        </is>
      </c>
      <c r="I8" s="14" t="inlineStr">
        <is>
          <t>Open ad</t>
        </is>
      </c>
    </row>
    <row r="9">
      <c r="A9" s="7" t="inlineStr">
        <is>
          <t>hirist.tech</t>
        </is>
      </c>
      <c r="B9" s="7" t="inlineStr">
        <is>
          <t>Tech job board</t>
        </is>
      </c>
      <c r="C9" s="8" t="inlineStr">
        <is>
          <t>446429982057859</t>
        </is>
      </c>
      <c r="D9" s="8" t="inlineStr">
        <is>
          <t>2194812774745473</t>
        </is>
      </c>
      <c r="E9" s="7" t="inlineStr">
        <is>
          <t>Bengaluru’s Top Hiring Day</t>
        </is>
      </c>
      <c r="F9" s="9" t="n">
        <v>46290</v>
      </c>
      <c r="G9" s="15">
        <f>'Competitor Summary'!$B$3-F9</f>
        <v/>
      </c>
      <c r="H9" s="7" t="inlineStr">
        <is>
          <t>Job / hiring offer</t>
        </is>
      </c>
      <c r="I9" s="14" t="inlineStr">
        <is>
          <t>Open ad</t>
        </is>
      </c>
    </row>
    <row r="10">
      <c r="A10" s="7" t="inlineStr">
        <is>
          <t>hirist.tech</t>
        </is>
      </c>
      <c r="B10" s="7" t="inlineStr">
        <is>
          <t>Tech job board</t>
        </is>
      </c>
      <c r="C10" s="8" t="inlineStr">
        <is>
          <t>446429982057859</t>
        </is>
      </c>
      <c r="D10" s="8" t="inlineStr">
        <is>
          <t>1093452916384232</t>
        </is>
      </c>
      <c r="E10" s="7" t="inlineStr">
        <is>
          <t>Find Tech Jobs Closer to Home</t>
        </is>
      </c>
      <c r="F10" s="9" t="n">
        <v>46276</v>
      </c>
      <c r="G10" s="15">
        <f>'Competitor Summary'!$B$3-F10</f>
        <v/>
      </c>
      <c r="H10" s="7" t="inlineStr">
        <is>
          <t>Job / hiring offer</t>
        </is>
      </c>
      <c r="I10" s="14" t="inlineStr">
        <is>
          <t>Open ad</t>
        </is>
      </c>
    </row>
    <row r="11">
      <c r="A11" s="7" t="inlineStr">
        <is>
          <t>hirist.tech</t>
        </is>
      </c>
      <c r="B11" s="7" t="inlineStr">
        <is>
          <t>Tech job board</t>
        </is>
      </c>
      <c r="C11" s="8" t="inlineStr">
        <is>
          <t>446429982057859</t>
        </is>
      </c>
      <c r="D11" s="8" t="inlineStr">
        <is>
          <t>1543057127860854</t>
        </is>
      </c>
      <c r="E11" s="7" t="inlineStr">
        <is>
          <t>Find Tech Jobs Closer to Home</t>
        </is>
      </c>
      <c r="F11" s="9" t="n">
        <v>46274</v>
      </c>
      <c r="G11" s="15">
        <f>'Competitor Summary'!$B$3-F11</f>
        <v/>
      </c>
      <c r="H11" s="7" t="inlineStr">
        <is>
          <t>Job / hiring offer</t>
        </is>
      </c>
      <c r="I11" s="14" t="inlineStr">
        <is>
          <t>Open ad</t>
        </is>
      </c>
    </row>
    <row r="12">
      <c r="A12" s="7" t="inlineStr">
        <is>
          <t>hirist.tech</t>
        </is>
      </c>
      <c r="B12" s="7" t="inlineStr">
        <is>
          <t>Tech job board</t>
        </is>
      </c>
      <c r="C12" s="8" t="inlineStr">
        <is>
          <t>446429982057859</t>
        </is>
      </c>
      <c r="D12" s="8" t="inlineStr">
        <is>
          <t>2947582995576484</t>
        </is>
      </c>
      <c r="E12" s="7" t="inlineStr">
        <is>
          <t>Find Tech Jobs Closer to Home</t>
        </is>
      </c>
      <c r="F12" s="9" t="n">
        <v>46274</v>
      </c>
      <c r="G12" s="15">
        <f>'Competitor Summary'!$B$3-F12</f>
        <v/>
      </c>
      <c r="H12" s="7" t="inlineStr">
        <is>
          <t>Job / hiring offer</t>
        </is>
      </c>
      <c r="I12" s="14" t="inlineStr">
        <is>
          <t>Open ad</t>
        </is>
      </c>
    </row>
    <row r="13">
      <c r="A13" s="7" t="inlineStr">
        <is>
          <t>hirist.tech</t>
        </is>
      </c>
      <c r="B13" s="7" t="inlineStr">
        <is>
          <t>Tech job board</t>
        </is>
      </c>
      <c r="C13" s="8" t="inlineStr">
        <is>
          <t>446429982057859</t>
        </is>
      </c>
      <c r="D13" s="8" t="inlineStr">
        <is>
          <t>1090026040213226</t>
        </is>
      </c>
      <c r="E13" s="7" t="inlineStr">
        <is>
          <t>Find Tech Jobs Closer to Home</t>
        </is>
      </c>
      <c r="F13" s="9" t="n">
        <v>46274</v>
      </c>
      <c r="G13" s="15">
        <f>'Competitor Summary'!$B$3-F13</f>
        <v/>
      </c>
      <c r="H13" s="7" t="inlineStr">
        <is>
          <t>Job / hiring offer</t>
        </is>
      </c>
      <c r="I13" s="14" t="inlineStr">
        <is>
          <t>Open ad</t>
        </is>
      </c>
    </row>
    <row r="14">
      <c r="A14" s="7" t="inlineStr">
        <is>
          <t>hirist.tech</t>
        </is>
      </c>
      <c r="B14" s="7" t="inlineStr">
        <is>
          <t>Tech job board</t>
        </is>
      </c>
      <c r="C14" s="8" t="inlineStr">
        <is>
          <t>446429982057859</t>
        </is>
      </c>
      <c r="D14" s="8" t="inlineStr">
        <is>
          <t>1092653273523782</t>
        </is>
      </c>
      <c r="E14" s="7" t="inlineStr">
        <is>
          <t>Find Tech Jobs Closer to Home</t>
        </is>
      </c>
      <c r="F14" s="9" t="n">
        <v>46274</v>
      </c>
      <c r="G14" s="15">
        <f>'Competitor Summary'!$B$3-F14</f>
        <v/>
      </c>
      <c r="H14" s="7" t="inlineStr">
        <is>
          <t>Job / hiring offer</t>
        </is>
      </c>
      <c r="I14" s="14" t="inlineStr">
        <is>
          <t>Open ad</t>
        </is>
      </c>
    </row>
    <row r="15">
      <c r="A15" s="7" t="inlineStr">
        <is>
          <t>hirist.tech</t>
        </is>
      </c>
      <c r="B15" s="7" t="inlineStr">
        <is>
          <t>Tech job board</t>
        </is>
      </c>
      <c r="C15" s="8" t="inlineStr">
        <is>
          <t>446429982057859</t>
        </is>
      </c>
      <c r="D15" s="8" t="inlineStr">
        <is>
          <t>2193769028163468</t>
        </is>
      </c>
      <c r="E15" s="7" t="inlineStr">
        <is>
          <t>Free to apply. Takes 2 minutes to set up.</t>
        </is>
      </c>
      <c r="F15" s="9" t="n">
        <v>46274</v>
      </c>
      <c r="G15" s="15">
        <f>'Competitor Summary'!$B$3-F15</f>
        <v/>
      </c>
      <c r="H15" s="7" t="inlineStr">
        <is>
          <t>Free / low-friction</t>
        </is>
      </c>
      <c r="I15" s="14" t="inlineStr">
        <is>
          <t>Open ad</t>
        </is>
      </c>
    </row>
    <row r="16">
      <c r="A16" s="7" t="inlineStr">
        <is>
          <t>hirist.tech</t>
        </is>
      </c>
      <c r="B16" s="7" t="inlineStr">
        <is>
          <t>Tech job board</t>
        </is>
      </c>
      <c r="C16" s="8" t="inlineStr">
        <is>
          <t>446429982057859</t>
        </is>
      </c>
      <c r="D16" s="8" t="inlineStr">
        <is>
          <t>949332397537835</t>
        </is>
      </c>
      <c r="E16" s="7" t="inlineStr">
        <is>
          <t>Free to apply. Takes 2 minutes to set up.</t>
        </is>
      </c>
      <c r="F16" s="9" t="n">
        <v>46274</v>
      </c>
      <c r="G16" s="15">
        <f>'Competitor Summary'!$B$3-F16</f>
        <v/>
      </c>
      <c r="H16" s="7" t="inlineStr">
        <is>
          <t>Free / low-friction</t>
        </is>
      </c>
      <c r="I16" s="14" t="inlineStr">
        <is>
          <t>Open ad</t>
        </is>
      </c>
    </row>
    <row r="17">
      <c r="A17" s="7" t="inlineStr">
        <is>
          <t>hirist.tech</t>
        </is>
      </c>
      <c r="B17" s="7" t="inlineStr">
        <is>
          <t>Tech job board</t>
        </is>
      </c>
      <c r="C17" s="8" t="inlineStr">
        <is>
          <t>446429982057859</t>
        </is>
      </c>
      <c r="D17" s="8" t="inlineStr">
        <is>
          <t>1079721494969030</t>
        </is>
      </c>
      <c r="E17" s="7" t="inlineStr">
        <is>
          <t>Free to apply. Takes 2 minutes to set up.</t>
        </is>
      </c>
      <c r="F17" s="9" t="n">
        <v>46274</v>
      </c>
      <c r="G17" s="15">
        <f>'Competitor Summary'!$B$3-F17</f>
        <v/>
      </c>
      <c r="H17" s="7" t="inlineStr">
        <is>
          <t>Free / low-friction</t>
        </is>
      </c>
      <c r="I17" s="14" t="inlineStr">
        <is>
          <t>Open ad</t>
        </is>
      </c>
    </row>
    <row r="18">
      <c r="A18" s="7" t="inlineStr">
        <is>
          <t>hirist.tech</t>
        </is>
      </c>
      <c r="B18" s="7" t="inlineStr">
        <is>
          <t>Tech job board</t>
        </is>
      </c>
      <c r="C18" s="8" t="inlineStr">
        <is>
          <t>446429982057859</t>
        </is>
      </c>
      <c r="D18" s="8" t="inlineStr">
        <is>
          <t>1110077881969022</t>
        </is>
      </c>
      <c r="E18" s="7" t="inlineStr">
        <is>
          <t>Free to apply. Takes 2 minutes to set up.</t>
        </is>
      </c>
      <c r="F18" s="9" t="n">
        <v>46274</v>
      </c>
      <c r="G18" s="15">
        <f>'Competitor Summary'!$B$3-F18</f>
        <v/>
      </c>
      <c r="H18" s="7" t="inlineStr">
        <is>
          <t>Free / low-friction</t>
        </is>
      </c>
      <c r="I18" s="14" t="inlineStr">
        <is>
          <t>Open ad</t>
        </is>
      </c>
    </row>
    <row r="19">
      <c r="A19" s="7" t="inlineStr">
        <is>
          <t>hirist.tech</t>
        </is>
      </c>
      <c r="B19" s="7" t="inlineStr">
        <is>
          <t>Tech job board</t>
        </is>
      </c>
      <c r="C19" s="8" t="inlineStr">
        <is>
          <t>446429982057859</t>
        </is>
      </c>
      <c r="D19" s="8" t="inlineStr">
        <is>
          <t>1627109228808054</t>
        </is>
      </c>
      <c r="E19" s="7" t="inlineStr">
        <is>
          <t>Free to apply. Takes 2 minutes to set up.</t>
        </is>
      </c>
      <c r="F19" s="9" t="n">
        <v>46274</v>
      </c>
      <c r="G19" s="15">
        <f>'Competitor Summary'!$B$3-F19</f>
        <v/>
      </c>
      <c r="H19" s="7" t="inlineStr">
        <is>
          <t>Free / low-friction</t>
        </is>
      </c>
      <c r="I19" s="14" t="inlineStr">
        <is>
          <t>Open ad</t>
        </is>
      </c>
    </row>
    <row r="20">
      <c r="A20" s="7" t="inlineStr">
        <is>
          <t>hirist.tech</t>
        </is>
      </c>
      <c r="B20" s="7" t="inlineStr">
        <is>
          <t>Tech job board</t>
        </is>
      </c>
      <c r="C20" s="8" t="inlineStr">
        <is>
          <t>446429982057859</t>
        </is>
      </c>
      <c r="D20" s="8" t="inlineStr">
        <is>
          <t>1597788461933206</t>
        </is>
      </c>
      <c r="E20" s="7" t="inlineStr">
        <is>
          <t>Free to apply. Takes 2 minutes to set up.</t>
        </is>
      </c>
      <c r="F20" s="9" t="n">
        <v>46274</v>
      </c>
      <c r="G20" s="15">
        <f>'Competitor Summary'!$B$3-F20</f>
        <v/>
      </c>
      <c r="H20" s="7" t="inlineStr">
        <is>
          <t>Free / low-friction</t>
        </is>
      </c>
      <c r="I20" s="14" t="inlineStr">
        <is>
          <t>Open ad</t>
        </is>
      </c>
    </row>
    <row r="21">
      <c r="A21" s="7" t="inlineStr">
        <is>
          <t>hirist.tech</t>
        </is>
      </c>
      <c r="B21" s="7" t="inlineStr">
        <is>
          <t>Tech job board</t>
        </is>
      </c>
      <c r="C21" s="8" t="inlineStr">
        <is>
          <t>446429982057859</t>
        </is>
      </c>
      <c r="D21" s="8" t="inlineStr">
        <is>
          <t>1100556402918273</t>
        </is>
      </c>
      <c r="E21" s="7" t="inlineStr">
        <is>
          <t>Free to apply. Takes 2 minutes to set up.</t>
        </is>
      </c>
      <c r="F21" s="9" t="n">
        <v>46274</v>
      </c>
      <c r="G21" s="15">
        <f>'Competitor Summary'!$B$3-F21</f>
        <v/>
      </c>
      <c r="H21" s="7" t="inlineStr">
        <is>
          <t>Free / low-friction</t>
        </is>
      </c>
      <c r="I21" s="14" t="inlineStr">
        <is>
          <t>Open ad</t>
        </is>
      </c>
    </row>
    <row r="22">
      <c r="A22" s="7" t="inlineStr">
        <is>
          <t>hirist.tech</t>
        </is>
      </c>
      <c r="B22" s="7" t="inlineStr">
        <is>
          <t>Tech job board</t>
        </is>
      </c>
      <c r="C22" s="8" t="inlineStr">
        <is>
          <t>446429982057859</t>
        </is>
      </c>
      <c r="D22" s="8" t="inlineStr">
        <is>
          <t>1058225840322916</t>
        </is>
      </c>
      <c r="E22" s="7" t="inlineStr">
        <is>
          <t>Free to apply. Takes 2 minutes to set up.</t>
        </is>
      </c>
      <c r="F22" s="9" t="n">
        <v>46274</v>
      </c>
      <c r="G22" s="15">
        <f>'Competitor Summary'!$B$3-F22</f>
        <v/>
      </c>
      <c r="H22" s="7" t="inlineStr">
        <is>
          <t>Free / low-friction</t>
        </is>
      </c>
      <c r="I22" s="14" t="inlineStr">
        <is>
          <t>Open ad</t>
        </is>
      </c>
    </row>
    <row r="23">
      <c r="A23" s="7" t="inlineStr">
        <is>
          <t>hirist.tech</t>
        </is>
      </c>
      <c r="B23" s="7" t="inlineStr">
        <is>
          <t>Tech job board</t>
        </is>
      </c>
      <c r="C23" s="8" t="inlineStr">
        <is>
          <t>446429982057859</t>
        </is>
      </c>
      <c r="D23" s="8" t="inlineStr">
        <is>
          <t>1423988079602152</t>
        </is>
      </c>
      <c r="E23" s="7" t="inlineStr">
        <is>
          <t>Free to apply. Takes 2 minutes to set up.</t>
        </is>
      </c>
      <c r="F23" s="9" t="n">
        <v>46274</v>
      </c>
      <c r="G23" s="15">
        <f>'Competitor Summary'!$B$3-F23</f>
        <v/>
      </c>
      <c r="H23" s="7" t="inlineStr">
        <is>
          <t>Free / low-friction</t>
        </is>
      </c>
      <c r="I23" s="14" t="inlineStr">
        <is>
          <t>Open ad</t>
        </is>
      </c>
    </row>
    <row r="24">
      <c r="A24" s="7" t="inlineStr">
        <is>
          <t>hirist.tech</t>
        </is>
      </c>
      <c r="B24" s="7" t="inlineStr">
        <is>
          <t>Tech job board</t>
        </is>
      </c>
      <c r="C24" s="8" t="inlineStr">
        <is>
          <t>446429982057859</t>
        </is>
      </c>
      <c r="D24" s="8" t="inlineStr">
        <is>
          <t>1055368793984871</t>
        </is>
      </c>
      <c r="E24" s="7" t="inlineStr">
        <is>
          <t>Free to apply. Takes 2 minutes to set up.</t>
        </is>
      </c>
      <c r="F24" s="9" t="n">
        <v>46274</v>
      </c>
      <c r="G24" s="15">
        <f>'Competitor Summary'!$B$3-F24</f>
        <v/>
      </c>
      <c r="H24" s="7" t="inlineStr">
        <is>
          <t>Free / low-friction</t>
        </is>
      </c>
      <c r="I24" s="14" t="inlineStr">
        <is>
          <t>Open ad</t>
        </is>
      </c>
    </row>
    <row r="25">
      <c r="A25" s="7" t="inlineStr">
        <is>
          <t>hirist.tech</t>
        </is>
      </c>
      <c r="B25" s="7" t="inlineStr">
        <is>
          <t>Tech job board</t>
        </is>
      </c>
      <c r="C25" s="8" t="inlineStr">
        <is>
          <t>446429982057859</t>
        </is>
      </c>
      <c r="D25" s="8" t="inlineStr">
        <is>
          <t>1424325016466491</t>
        </is>
      </c>
      <c r="E25" s="7" t="inlineStr">
        <is>
          <t>ARMPL / Solution Analysts / Clovio IT Consulting / Scout Incorporation / Career Infosystem / Happiest Minds is hiring | Apply now</t>
        </is>
      </c>
      <c r="F25" s="9" t="n">
        <v>46273</v>
      </c>
      <c r="G25" s="15">
        <f>'Competitor Summary'!$B$3-F25</f>
        <v/>
      </c>
      <c r="H25" s="7" t="inlineStr">
        <is>
          <t>Job / hiring offer</t>
        </is>
      </c>
      <c r="I25" s="14" t="inlineStr">
        <is>
          <t>Open ad</t>
        </is>
      </c>
    </row>
    <row r="26">
      <c r="A26" s="7" t="inlineStr">
        <is>
          <t>hirist.tech</t>
        </is>
      </c>
      <c r="B26" s="7" t="inlineStr">
        <is>
          <t>Tech job board</t>
        </is>
      </c>
      <c r="C26" s="8" t="inlineStr">
        <is>
          <t>446429982057859</t>
        </is>
      </c>
      <c r="D26" s="8" t="inlineStr">
        <is>
          <t>950795130662611</t>
        </is>
      </c>
      <c r="E26" s="7" t="inlineStr">
        <is>
          <t>Free to apply. Takes 2 minutes to set up.</t>
        </is>
      </c>
      <c r="F26" s="9" t="n">
        <v>46271</v>
      </c>
      <c r="G26" s="15">
        <f>'Competitor Summary'!$B$3-F26</f>
        <v/>
      </c>
      <c r="H26" s="7" t="inlineStr">
        <is>
          <t>Free / low-friction</t>
        </is>
      </c>
      <c r="I26" s="14" t="inlineStr">
        <is>
          <t>Open ad</t>
        </is>
      </c>
    </row>
    <row r="27">
      <c r="A27" s="7" t="inlineStr">
        <is>
          <t>hirist.tech</t>
        </is>
      </c>
      <c r="B27" s="7" t="inlineStr">
        <is>
          <t>Tech job board</t>
        </is>
      </c>
      <c r="C27" s="8" t="inlineStr">
        <is>
          <t>446429982057859</t>
        </is>
      </c>
      <c r="D27" s="8" t="inlineStr">
        <is>
          <t>938083058715945</t>
        </is>
      </c>
      <c r="E27" s="7" t="inlineStr">
        <is>
          <t>Free to apply. Takes 2 minutes to set up.</t>
        </is>
      </c>
      <c r="F27" s="9" t="n">
        <v>46269</v>
      </c>
      <c r="G27" s="15">
        <f>'Competitor Summary'!$B$3-F27</f>
        <v/>
      </c>
      <c r="H27" s="7" t="inlineStr">
        <is>
          <t>Free / low-friction</t>
        </is>
      </c>
      <c r="I27" s="14" t="inlineStr">
        <is>
          <t>Open ad</t>
        </is>
      </c>
    </row>
    <row r="28">
      <c r="A28" s="7" t="inlineStr">
        <is>
          <t>hirist.tech</t>
        </is>
      </c>
      <c r="B28" s="7" t="inlineStr">
        <is>
          <t>Tech job board</t>
        </is>
      </c>
      <c r="C28" s="8" t="inlineStr">
        <is>
          <t>446429982057859</t>
        </is>
      </c>
      <c r="D28" s="8" t="inlineStr">
        <is>
          <t>1626158498943261</t>
        </is>
      </c>
      <c r="E28" s="7" t="inlineStr">
        <is>
          <t>Free to apply. Takes 2 minutes to set up.</t>
        </is>
      </c>
      <c r="F28" s="9" t="n">
        <v>46269</v>
      </c>
      <c r="G28" s="15">
        <f>'Competitor Summary'!$B$3-F28</f>
        <v/>
      </c>
      <c r="H28" s="7" t="inlineStr">
        <is>
          <t>Free / low-friction</t>
        </is>
      </c>
      <c r="I28" s="14" t="inlineStr">
        <is>
          <t>Open ad</t>
        </is>
      </c>
    </row>
    <row r="29">
      <c r="A29" s="7" t="inlineStr">
        <is>
          <t>hirist.tech</t>
        </is>
      </c>
      <c r="B29" s="7" t="inlineStr">
        <is>
          <t>Tech job board</t>
        </is>
      </c>
      <c r="C29" s="8" t="inlineStr">
        <is>
          <t>446429982057859</t>
        </is>
      </c>
      <c r="D29" s="8" t="inlineStr">
        <is>
          <t>2216723425536314</t>
        </is>
      </c>
      <c r="E29" s="7" t="inlineStr">
        <is>
          <t>Free to apply. Takes 2 minutes to set up.</t>
        </is>
      </c>
      <c r="F29" s="9" t="n">
        <v>46269</v>
      </c>
      <c r="G29" s="15">
        <f>'Competitor Summary'!$B$3-F29</f>
        <v/>
      </c>
      <c r="H29" s="7" t="inlineStr">
        <is>
          <t>Free / low-friction</t>
        </is>
      </c>
      <c r="I29" s="14" t="inlineStr">
        <is>
          <t>Open ad</t>
        </is>
      </c>
    </row>
    <row r="30">
      <c r="A30" s="7" t="inlineStr">
        <is>
          <t>hirist.tech</t>
        </is>
      </c>
      <c r="B30" s="7" t="inlineStr">
        <is>
          <t>Tech job board</t>
        </is>
      </c>
      <c r="C30" s="8" t="inlineStr">
        <is>
          <t>446429982057859</t>
        </is>
      </c>
      <c r="D30" s="8" t="inlineStr">
        <is>
          <t>1368273501641583</t>
        </is>
      </c>
      <c r="E30" s="7" t="inlineStr">
        <is>
          <t>Free to apply. Takes 2 minutes to set up.</t>
        </is>
      </c>
      <c r="F30" s="9" t="n">
        <v>46269</v>
      </c>
      <c r="G30" s="15">
        <f>'Competitor Summary'!$B$3-F30</f>
        <v/>
      </c>
      <c r="H30" s="7" t="inlineStr">
        <is>
          <t>Free / low-friction</t>
        </is>
      </c>
      <c r="I30" s="14" t="inlineStr">
        <is>
          <t>Open ad</t>
        </is>
      </c>
    </row>
    <row r="31">
      <c r="A31" s="7" t="inlineStr">
        <is>
          <t>hirist.tech</t>
        </is>
      </c>
      <c r="B31" s="7" t="inlineStr">
        <is>
          <t>Tech job board</t>
        </is>
      </c>
      <c r="C31" s="8" t="inlineStr">
        <is>
          <t>446429982057859</t>
        </is>
      </c>
      <c r="D31" s="8" t="inlineStr">
        <is>
          <t>1072594798645235</t>
        </is>
      </c>
      <c r="E31" s="7" t="inlineStr">
        <is>
          <t>Free to apply. Takes 2 minutes to set up.</t>
        </is>
      </c>
      <c r="F31" s="9" t="n">
        <v>46269</v>
      </c>
      <c r="G31" s="15">
        <f>'Competitor Summary'!$B$3-F31</f>
        <v/>
      </c>
      <c r="H31" s="7" t="inlineStr">
        <is>
          <t>Free / low-friction</t>
        </is>
      </c>
      <c r="I31" s="14" t="inlineStr">
        <is>
          <t>Open ad</t>
        </is>
      </c>
    </row>
    <row r="32">
      <c r="A32" s="7" t="inlineStr">
        <is>
          <t>hirist.tech</t>
        </is>
      </c>
      <c r="B32" s="7" t="inlineStr">
        <is>
          <t>Tech job board</t>
        </is>
      </c>
      <c r="C32" s="8" t="inlineStr">
        <is>
          <t>446429982057859</t>
        </is>
      </c>
      <c r="D32" s="8" t="inlineStr">
        <is>
          <t>1621610832905415</t>
        </is>
      </c>
      <c r="E32" s="7" t="inlineStr">
        <is>
          <t>Free to apply. Takes 2 minutes to set up.</t>
        </is>
      </c>
      <c r="F32" s="9" t="n">
        <v>46269</v>
      </c>
      <c r="G32" s="15">
        <f>'Competitor Summary'!$B$3-F32</f>
        <v/>
      </c>
      <c r="H32" s="7" t="inlineStr">
        <is>
          <t>Free / low-friction</t>
        </is>
      </c>
      <c r="I32" s="14" t="inlineStr">
        <is>
          <t>Open ad</t>
        </is>
      </c>
    </row>
    <row r="33">
      <c r="A33" s="7" t="inlineStr">
        <is>
          <t>hirist.tech</t>
        </is>
      </c>
      <c r="B33" s="7" t="inlineStr">
        <is>
          <t>Tech job board</t>
        </is>
      </c>
      <c r="C33" s="8" t="inlineStr">
        <is>
          <t>446429982057859</t>
        </is>
      </c>
      <c r="D33" s="8" t="inlineStr">
        <is>
          <t>1883769822608251</t>
        </is>
      </c>
      <c r="E33" s="7" t="inlineStr">
        <is>
          <t>Free to apply. Takes 2 minutes to set up.</t>
        </is>
      </c>
      <c r="F33" s="9" t="n">
        <v>46269</v>
      </c>
      <c r="G33" s="15">
        <f>'Competitor Summary'!$B$3-F33</f>
        <v/>
      </c>
      <c r="H33" s="7" t="inlineStr">
        <is>
          <t>Free / low-friction</t>
        </is>
      </c>
      <c r="I33" s="14" t="inlineStr">
        <is>
          <t>Open ad</t>
        </is>
      </c>
    </row>
    <row r="34">
      <c r="A34" s="7" t="inlineStr">
        <is>
          <t>hirist.tech</t>
        </is>
      </c>
      <c r="B34" s="7" t="inlineStr">
        <is>
          <t>Tech job board</t>
        </is>
      </c>
      <c r="C34" s="8" t="inlineStr">
        <is>
          <t>446429982057859</t>
        </is>
      </c>
      <c r="D34" s="8" t="inlineStr">
        <is>
          <t>1743719863621828</t>
        </is>
      </c>
      <c r="E34" s="7" t="inlineStr">
        <is>
          <t>Free to apply. Takes 2 minutes to set up.</t>
        </is>
      </c>
      <c r="F34" s="9" t="n">
        <v>46269</v>
      </c>
      <c r="G34" s="15">
        <f>'Competitor Summary'!$B$3-F34</f>
        <v/>
      </c>
      <c r="H34" s="7" t="inlineStr">
        <is>
          <t>Free / low-friction</t>
        </is>
      </c>
      <c r="I34" s="14" t="inlineStr">
        <is>
          <t>Open ad</t>
        </is>
      </c>
    </row>
    <row r="35">
      <c r="A35" s="7" t="inlineStr">
        <is>
          <t>hirist.tech</t>
        </is>
      </c>
      <c r="B35" s="7" t="inlineStr">
        <is>
          <t>Tech job board</t>
        </is>
      </c>
      <c r="C35" s="8" t="inlineStr">
        <is>
          <t>446429982057859</t>
        </is>
      </c>
      <c r="D35" s="8" t="inlineStr">
        <is>
          <t>1397107032521883</t>
        </is>
      </c>
      <c r="E35" s="7" t="inlineStr">
        <is>
          <t>Free to apply. Takes 2 minutes to set up.</t>
        </is>
      </c>
      <c r="F35" s="9" t="n">
        <v>46269</v>
      </c>
      <c r="G35" s="15">
        <f>'Competitor Summary'!$B$3-F35</f>
        <v/>
      </c>
      <c r="H35" s="7" t="inlineStr">
        <is>
          <t>Free / low-friction</t>
        </is>
      </c>
      <c r="I35" s="14" t="inlineStr">
        <is>
          <t>Open ad</t>
        </is>
      </c>
    </row>
    <row r="36">
      <c r="A36" s="7" t="inlineStr">
        <is>
          <t>hirist.tech</t>
        </is>
      </c>
      <c r="B36" s="7" t="inlineStr">
        <is>
          <t>Tech job board</t>
        </is>
      </c>
      <c r="C36" s="8" t="inlineStr">
        <is>
          <t>446429982057859</t>
        </is>
      </c>
      <c r="D36" s="8" t="inlineStr">
        <is>
          <t>28112619045104354</t>
        </is>
      </c>
      <c r="E36" s="7" t="inlineStr">
        <is>
          <t>Free to apply. Takes 2 minutes to set up.</t>
        </is>
      </c>
      <c r="F36" s="9" t="n">
        <v>46269</v>
      </c>
      <c r="G36" s="15">
        <f>'Competitor Summary'!$B$3-F36</f>
        <v/>
      </c>
      <c r="H36" s="7" t="inlineStr">
        <is>
          <t>Free / low-friction</t>
        </is>
      </c>
      <c r="I36" s="14" t="inlineStr">
        <is>
          <t>Open ad</t>
        </is>
      </c>
    </row>
    <row r="37">
      <c r="A37" s="7" t="inlineStr">
        <is>
          <t>hirist.tech</t>
        </is>
      </c>
      <c r="B37" s="7" t="inlineStr">
        <is>
          <t>Tech job board</t>
        </is>
      </c>
      <c r="C37" s="8" t="inlineStr">
        <is>
          <t>446429982057859</t>
        </is>
      </c>
      <c r="D37" s="8" t="inlineStr">
        <is>
          <t>1105880931778419</t>
        </is>
      </c>
      <c r="E37" s="7" t="inlineStr">
        <is>
          <t>Free to apply. Takes 2 minutes to set up.</t>
        </is>
      </c>
      <c r="F37" s="9" t="n">
        <v>46269</v>
      </c>
      <c r="G37" s="15">
        <f>'Competitor Summary'!$B$3-F37</f>
        <v/>
      </c>
      <c r="H37" s="7" t="inlineStr">
        <is>
          <t>Free / low-friction</t>
        </is>
      </c>
      <c r="I37" s="14" t="inlineStr">
        <is>
          <t>Open ad</t>
        </is>
      </c>
    </row>
    <row r="38">
      <c r="A38" s="7" t="inlineStr">
        <is>
          <t>hirist.tech</t>
        </is>
      </c>
      <c r="B38" s="7" t="inlineStr">
        <is>
          <t>Tech job board</t>
        </is>
      </c>
      <c r="C38" s="8" t="inlineStr">
        <is>
          <t>446429982057859</t>
        </is>
      </c>
      <c r="D38" s="8" t="inlineStr">
        <is>
          <t>1426854799377727</t>
        </is>
      </c>
      <c r="E38" s="7" t="inlineStr">
        <is>
          <t>Free to apply. Takes 2 minutes to set up.</t>
        </is>
      </c>
      <c r="F38" s="9" t="n">
        <v>46269</v>
      </c>
      <c r="G38" s="15">
        <f>'Competitor Summary'!$B$3-F38</f>
        <v/>
      </c>
      <c r="H38" s="7" t="inlineStr">
        <is>
          <t>Free / low-friction</t>
        </is>
      </c>
      <c r="I38" s="14" t="inlineStr">
        <is>
          <t>Open ad</t>
        </is>
      </c>
    </row>
    <row r="39">
      <c r="A39" s="7" t="inlineStr">
        <is>
          <t>Technopark, Trivandrum</t>
        </is>
      </c>
      <c r="B39" s="7" t="inlineStr">
        <is>
          <t>Tech park / community</t>
        </is>
      </c>
      <c r="C39" s="8" t="inlineStr">
        <is>
          <t>140899789320354</t>
        </is>
      </c>
      <c r="D39" s="8" t="inlineStr">
        <is>
          <t>1419315286818560</t>
        </is>
      </c>
      <c r="E39" s="7" t="inlineStr">
        <is>
          <t>(no headline)</t>
        </is>
      </c>
      <c r="F39" s="9" t="n">
        <v>46291</v>
      </c>
      <c r="G39" s="15">
        <f>'Competitor Summary'!$B$3-F39</f>
        <v/>
      </c>
      <c r="H39" s="7" t="inlineStr">
        <is>
          <t>No headline (visual-led)</t>
        </is>
      </c>
      <c r="I39" s="14" t="inlineStr">
        <is>
          <t>Open ad</t>
        </is>
      </c>
    </row>
    <row r="40">
      <c r="A40" s="7" t="inlineStr">
        <is>
          <t>Technopark, Trivandrum</t>
        </is>
      </c>
      <c r="B40" s="7" t="inlineStr">
        <is>
          <t>Tech park / community</t>
        </is>
      </c>
      <c r="C40" s="8" t="inlineStr">
        <is>
          <t>140899789320354</t>
        </is>
      </c>
      <c r="D40" s="8" t="inlineStr">
        <is>
          <t>1701633130895041</t>
        </is>
      </c>
      <c r="E40" s="7" t="inlineStr">
        <is>
          <t>instagram.com (Instagram profile link)</t>
        </is>
      </c>
      <c r="F40" s="9" t="n">
        <v>46284</v>
      </c>
      <c r="G40" s="15">
        <f>'Competitor Summary'!$B$3-F40</f>
        <v/>
      </c>
      <c r="H40" s="7" t="inlineStr">
        <is>
          <t>No headline (visual-led)</t>
        </is>
      </c>
      <c r="I40" s="14" t="inlineStr">
        <is>
          <t>Open ad</t>
        </is>
      </c>
    </row>
    <row r="41">
      <c r="A41" s="7" t="inlineStr">
        <is>
          <t>Technopark, Trivandrum</t>
        </is>
      </c>
      <c r="B41" s="7" t="inlineStr">
        <is>
          <t>Tech park / community</t>
        </is>
      </c>
      <c r="C41" s="8" t="inlineStr">
        <is>
          <t>140899789320354</t>
        </is>
      </c>
      <c r="D41" s="8" t="inlineStr">
        <is>
          <t>2217098326355842</t>
        </is>
      </c>
      <c r="E41" s="7" t="inlineStr">
        <is>
          <t>(no headline)</t>
        </is>
      </c>
      <c r="F41" s="9" t="n">
        <v>46284</v>
      </c>
      <c r="G41" s="15">
        <f>'Competitor Summary'!$B$3-F41</f>
        <v/>
      </c>
      <c r="H41" s="7" t="inlineStr">
        <is>
          <t>No headline (visual-led)</t>
        </is>
      </c>
      <c r="I41" s="14" t="inlineStr">
        <is>
          <t>Open ad</t>
        </is>
      </c>
    </row>
    <row r="42">
      <c r="A42" s="7" t="inlineStr">
        <is>
          <t>Technopark, Trivandrum</t>
        </is>
      </c>
      <c r="B42" s="7" t="inlineStr">
        <is>
          <t>Tech park / community</t>
        </is>
      </c>
      <c r="C42" s="8" t="inlineStr">
        <is>
          <t>140899789320354</t>
        </is>
      </c>
      <c r="D42" s="8" t="inlineStr">
        <is>
          <t>926521400531269</t>
        </is>
      </c>
      <c r="E42" s="7" t="inlineStr">
        <is>
          <t>(no headline)</t>
        </is>
      </c>
      <c r="F42" s="9" t="n">
        <v>46282</v>
      </c>
      <c r="G42" s="15">
        <f>'Competitor Summary'!$B$3-F42</f>
        <v/>
      </c>
      <c r="H42" s="7" t="inlineStr">
        <is>
          <t>No headline (visual-led)</t>
        </is>
      </c>
      <c r="I42" s="14" t="inlineStr">
        <is>
          <t>Open ad</t>
        </is>
      </c>
    </row>
    <row r="43">
      <c r="A43" s="7" t="inlineStr">
        <is>
          <t>Software System Design/Architecture Interview</t>
        </is>
      </c>
      <c r="B43" s="7" t="inlineStr">
        <is>
          <t>Edtech: architect course</t>
        </is>
      </c>
      <c r="C43" s="8" t="inlineStr">
        <is>
          <t>166719546523044</t>
        </is>
      </c>
      <c r="D43" s="8" t="inlineStr">
        <is>
          <t>1644512954128194</t>
        </is>
      </c>
      <c r="E43" s="7" t="inlineStr">
        <is>
          <t>Become an Strong Software Architect</t>
        </is>
      </c>
      <c r="F43" s="9" t="n">
        <v>46293</v>
      </c>
      <c r="G43" s="15">
        <f>'Competitor Summary'!$B$3-F43</f>
        <v/>
      </c>
      <c r="H43" s="7" t="inlineStr">
        <is>
          <t>Transformation (become X)</t>
        </is>
      </c>
      <c r="I43" s="14" t="inlineStr">
        <is>
          <t>Open ad</t>
        </is>
      </c>
    </row>
    <row r="44">
      <c r="A44" s="7" t="inlineStr">
        <is>
          <t>EdYoda</t>
        </is>
      </c>
      <c r="B44" s="7" t="inlineStr">
        <is>
          <t>Edtech: certifications</t>
        </is>
      </c>
      <c r="C44" s="8" t="inlineStr">
        <is>
          <t>813649275509075</t>
        </is>
      </c>
      <c r="D44" s="8" t="inlineStr">
        <is>
          <t>2326023648134305</t>
        </is>
      </c>
      <c r="E44" s="7" t="inlineStr">
        <is>
          <t>👉Become a CERTIFIED FORWARD DEPLOYED ENGINEER (FDE)🚀</t>
        </is>
      </c>
      <c r="F44" s="9" t="n">
        <v>46293</v>
      </c>
      <c r="G44" s="15">
        <f>'Competitor Summary'!$B$3-F44</f>
        <v/>
      </c>
      <c r="H44" s="7" t="inlineStr">
        <is>
          <t>Transformation (become X)</t>
        </is>
      </c>
      <c r="I44" s="14" t="inlineStr">
        <is>
          <t>Open ad</t>
        </is>
      </c>
    </row>
    <row r="45">
      <c r="A45" s="7" t="inlineStr">
        <is>
          <t>EdYoda</t>
        </is>
      </c>
      <c r="B45" s="7" t="inlineStr">
        <is>
          <t>Edtech: certifications</t>
        </is>
      </c>
      <c r="C45" s="8" t="inlineStr">
        <is>
          <t>813649275509075</t>
        </is>
      </c>
      <c r="D45" s="8" t="inlineStr">
        <is>
          <t>1642240207566246</t>
        </is>
      </c>
      <c r="E45" s="7" t="inlineStr">
        <is>
          <t>👉Become a CERTIFIED MULTICLOUD ARCHITECT🚀</t>
        </is>
      </c>
      <c r="F45" s="9" t="n">
        <v>46293</v>
      </c>
      <c r="G45" s="15">
        <f>'Competitor Summary'!$B$3-F45</f>
        <v/>
      </c>
      <c r="H45" s="7" t="inlineStr">
        <is>
          <t>Transformation (become X)</t>
        </is>
      </c>
      <c r="I45" s="14" t="inlineStr">
        <is>
          <t>Open ad</t>
        </is>
      </c>
    </row>
    <row r="46">
      <c r="A46" s="7" t="inlineStr">
        <is>
          <t>EdYoda</t>
        </is>
      </c>
      <c r="B46" s="7" t="inlineStr">
        <is>
          <t>Edtech: certifications</t>
        </is>
      </c>
      <c r="C46" s="8" t="inlineStr">
        <is>
          <t>813649275509075</t>
        </is>
      </c>
      <c r="D46" s="8" t="inlineStr">
        <is>
          <t>1618788119751132</t>
        </is>
      </c>
      <c r="E46" s="7" t="inlineStr">
        <is>
          <t>👉Become a CERTIFIED AI AGENT DEVELOPMENT Engineer🚀</t>
        </is>
      </c>
      <c r="F46" s="9" t="n">
        <v>46293</v>
      </c>
      <c r="G46" s="15">
        <f>'Competitor Summary'!$B$3-F46</f>
        <v/>
      </c>
      <c r="H46" s="7" t="inlineStr">
        <is>
          <t>Transformation (become X)</t>
        </is>
      </c>
      <c r="I46" s="14" t="inlineStr">
        <is>
          <t>Open ad</t>
        </is>
      </c>
    </row>
    <row r="47">
      <c r="A47" s="7" t="inlineStr">
        <is>
          <t>EdYoda</t>
        </is>
      </c>
      <c r="B47" s="7" t="inlineStr">
        <is>
          <t>Edtech: certifications</t>
        </is>
      </c>
      <c r="C47" s="8" t="inlineStr">
        <is>
          <t>813649275509075</t>
        </is>
      </c>
      <c r="D47" s="8" t="inlineStr">
        <is>
          <t>1731530114618214</t>
        </is>
      </c>
      <c r="E47" s="7" t="inlineStr">
        <is>
          <t>👉Become a CERTIFIED AI AGENT DEVELOPMENT Engineer🚀</t>
        </is>
      </c>
      <c r="F47" s="9" t="n">
        <v>46293</v>
      </c>
      <c r="G47" s="15">
        <f>'Competitor Summary'!$B$3-F47</f>
        <v/>
      </c>
      <c r="H47" s="7" t="inlineStr">
        <is>
          <t>Transformation (become X)</t>
        </is>
      </c>
      <c r="I47" s="14" t="inlineStr">
        <is>
          <t>Open ad</t>
        </is>
      </c>
    </row>
    <row r="48">
      <c r="A48" s="7" t="inlineStr">
        <is>
          <t>EdYoda</t>
        </is>
      </c>
      <c r="B48" s="7" t="inlineStr">
        <is>
          <t>Edtech: certifications</t>
        </is>
      </c>
      <c r="C48" s="8" t="inlineStr">
        <is>
          <t>813649275509075</t>
        </is>
      </c>
      <c r="D48" s="8" t="inlineStr">
        <is>
          <t>1443197407729118</t>
        </is>
      </c>
      <c r="E48" s="7" t="inlineStr">
        <is>
          <t>👉Become a CERTIFIED MULTICLOUD ARCHITECT🚀</t>
        </is>
      </c>
      <c r="F48" s="9" t="n">
        <v>46293</v>
      </c>
      <c r="G48" s="15">
        <f>'Competitor Summary'!$B$3-F48</f>
        <v/>
      </c>
      <c r="H48" s="7" t="inlineStr">
        <is>
          <t>Transformation (become X)</t>
        </is>
      </c>
      <c r="I48" s="14" t="inlineStr">
        <is>
          <t>Open ad</t>
        </is>
      </c>
    </row>
    <row r="49">
      <c r="A49" s="7" t="inlineStr">
        <is>
          <t>EdYoda</t>
        </is>
      </c>
      <c r="B49" s="7" t="inlineStr">
        <is>
          <t>Edtech: certifications</t>
        </is>
      </c>
      <c r="C49" s="8" t="inlineStr">
        <is>
          <t>813649275509075</t>
        </is>
      </c>
      <c r="D49" s="8" t="inlineStr">
        <is>
          <t>1599423191622422</t>
        </is>
      </c>
      <c r="E49" s="7" t="inlineStr">
        <is>
          <t>👉Become a CERTIFIED MULTICLOUD ARCHITECT🚀</t>
        </is>
      </c>
      <c r="F49" s="9" t="n">
        <v>46293</v>
      </c>
      <c r="G49" s="15">
        <f>'Competitor Summary'!$B$3-F49</f>
        <v/>
      </c>
      <c r="H49" s="7" t="inlineStr">
        <is>
          <t>Transformation (become X)</t>
        </is>
      </c>
      <c r="I49" s="14" t="inlineStr">
        <is>
          <t>Open ad</t>
        </is>
      </c>
    </row>
    <row r="50">
      <c r="A50" s="7" t="inlineStr">
        <is>
          <t>EdYoda</t>
        </is>
      </c>
      <c r="B50" s="7" t="inlineStr">
        <is>
          <t>Edtech: certifications</t>
        </is>
      </c>
      <c r="C50" s="8" t="inlineStr">
        <is>
          <t>813649275509075</t>
        </is>
      </c>
      <c r="D50" s="8" t="inlineStr">
        <is>
          <t>28634614489533833</t>
        </is>
      </c>
      <c r="E50" s="7" t="inlineStr">
        <is>
          <t>👉Become a CERTIFIED MULTICLOUD ARCHITECT🚀</t>
        </is>
      </c>
      <c r="F50" s="9" t="n">
        <v>46293</v>
      </c>
      <c r="G50" s="15">
        <f>'Competitor Summary'!$B$3-F50</f>
        <v/>
      </c>
      <c r="H50" s="7" t="inlineStr">
        <is>
          <t>Transformation (become X)</t>
        </is>
      </c>
      <c r="I50" s="14" t="inlineStr">
        <is>
          <t>Open ad</t>
        </is>
      </c>
    </row>
    <row r="51">
      <c r="A51" s="7" t="inlineStr">
        <is>
          <t>EdYoda</t>
        </is>
      </c>
      <c r="B51" s="7" t="inlineStr">
        <is>
          <t>Edtech: certifications</t>
        </is>
      </c>
      <c r="C51" s="8" t="inlineStr">
        <is>
          <t>813649275509075</t>
        </is>
      </c>
      <c r="D51" s="8" t="inlineStr">
        <is>
          <t>1353268229950880</t>
        </is>
      </c>
      <c r="E51" s="7" t="inlineStr">
        <is>
          <t>👉Become a CERTIFIED DATABRICKS DATA ENGINEER🚀</t>
        </is>
      </c>
      <c r="F51" s="9" t="n">
        <v>46293</v>
      </c>
      <c r="G51" s="15">
        <f>'Competitor Summary'!$B$3-F51</f>
        <v/>
      </c>
      <c r="H51" s="7" t="inlineStr">
        <is>
          <t>Transformation (become X)</t>
        </is>
      </c>
      <c r="I51" s="14" t="inlineStr">
        <is>
          <t>Open ad</t>
        </is>
      </c>
    </row>
    <row r="52">
      <c r="A52" s="7" t="inlineStr">
        <is>
          <t>EdYoda</t>
        </is>
      </c>
      <c r="B52" s="7" t="inlineStr">
        <is>
          <t>Edtech: certifications</t>
        </is>
      </c>
      <c r="C52" s="8" t="inlineStr">
        <is>
          <t>813649275509075</t>
        </is>
      </c>
      <c r="D52" s="8" t="inlineStr">
        <is>
          <t>1633366241766712</t>
        </is>
      </c>
      <c r="E52" s="7" t="inlineStr">
        <is>
          <t>👉Become a CERTIFIED DATABRICKS DATA ENGINEER🚀</t>
        </is>
      </c>
      <c r="F52" s="9" t="n">
        <v>46293</v>
      </c>
      <c r="G52" s="15">
        <f>'Competitor Summary'!$B$3-F52</f>
        <v/>
      </c>
      <c r="H52" s="7" t="inlineStr">
        <is>
          <t>Transformation (become X)</t>
        </is>
      </c>
      <c r="I52" s="14" t="inlineStr">
        <is>
          <t>Open ad</t>
        </is>
      </c>
    </row>
    <row r="53">
      <c r="A53" s="7" t="inlineStr">
        <is>
          <t>EdYoda</t>
        </is>
      </c>
      <c r="B53" s="7" t="inlineStr">
        <is>
          <t>Edtech: certifications</t>
        </is>
      </c>
      <c r="C53" s="8" t="inlineStr">
        <is>
          <t>813649275509075</t>
        </is>
      </c>
      <c r="D53" s="8" t="inlineStr">
        <is>
          <t>1584408473483666</t>
        </is>
      </c>
      <c r="E53" s="7" t="inlineStr">
        <is>
          <t>👉Become a CERTIFIED DATABRICKS DATA ENGINEER🚀</t>
        </is>
      </c>
      <c r="F53" s="9" t="n">
        <v>46293</v>
      </c>
      <c r="G53" s="15">
        <f>'Competitor Summary'!$B$3-F53</f>
        <v/>
      </c>
      <c r="H53" s="7" t="inlineStr">
        <is>
          <t>Transformation (become X)</t>
        </is>
      </c>
      <c r="I53" s="14" t="inlineStr">
        <is>
          <t>Open ad</t>
        </is>
      </c>
    </row>
    <row r="54">
      <c r="A54" s="7" t="inlineStr">
        <is>
          <t>EdYoda</t>
        </is>
      </c>
      <c r="B54" s="7" t="inlineStr">
        <is>
          <t>Edtech: certifications</t>
        </is>
      </c>
      <c r="C54" s="8" t="inlineStr">
        <is>
          <t>813649275509075</t>
        </is>
      </c>
      <c r="D54" s="8" t="inlineStr">
        <is>
          <t>2315080335911515</t>
        </is>
      </c>
      <c r="E54" s="7" t="inlineStr">
        <is>
          <t>👉Become a CERTIFIED MULTICLOUD ARCHITECT🚀</t>
        </is>
      </c>
      <c r="F54" s="9" t="n">
        <v>46291</v>
      </c>
      <c r="G54" s="15">
        <f>'Competitor Summary'!$B$3-F54</f>
        <v/>
      </c>
      <c r="H54" s="7" t="inlineStr">
        <is>
          <t>Transformation (become X)</t>
        </is>
      </c>
      <c r="I54" s="14" t="inlineStr">
        <is>
          <t>Open ad</t>
        </is>
      </c>
    </row>
    <row r="55">
      <c r="A55" s="7" t="inlineStr">
        <is>
          <t>EdYoda</t>
        </is>
      </c>
      <c r="B55" s="7" t="inlineStr">
        <is>
          <t>Edtech: certifications</t>
        </is>
      </c>
      <c r="C55" s="8" t="inlineStr">
        <is>
          <t>813649275509075</t>
        </is>
      </c>
      <c r="D55" s="8" t="inlineStr">
        <is>
          <t>1667886868103750</t>
        </is>
      </c>
      <c r="E55" s="7" t="inlineStr">
        <is>
          <t>👉Become a CERTIFIED DATABRICKS DATA ENGINEER🚀</t>
        </is>
      </c>
      <c r="F55" s="9" t="n">
        <v>46291</v>
      </c>
      <c r="G55" s="15">
        <f>'Competitor Summary'!$B$3-F55</f>
        <v/>
      </c>
      <c r="H55" s="7" t="inlineStr">
        <is>
          <t>Transformation (become X)</t>
        </is>
      </c>
      <c r="I55" s="14" t="inlineStr">
        <is>
          <t>Open ad</t>
        </is>
      </c>
    </row>
    <row r="56">
      <c r="A56" s="7" t="inlineStr">
        <is>
          <t>EdYoda</t>
        </is>
      </c>
      <c r="B56" s="7" t="inlineStr">
        <is>
          <t>Edtech: certifications</t>
        </is>
      </c>
      <c r="C56" s="8" t="inlineStr">
        <is>
          <t>813649275509075</t>
        </is>
      </c>
      <c r="D56" s="8" t="inlineStr">
        <is>
          <t>1681335967040793</t>
        </is>
      </c>
      <c r="E56" s="7" t="inlineStr">
        <is>
          <t>(no headline)</t>
        </is>
      </c>
      <c r="F56" s="9" t="n">
        <v>46290</v>
      </c>
      <c r="G56" s="15">
        <f>'Competitor Summary'!$B$3-F56</f>
        <v/>
      </c>
      <c r="H56" s="7" t="inlineStr">
        <is>
          <t>No headline (visual-led)</t>
        </is>
      </c>
      <c r="I56" s="14" t="inlineStr">
        <is>
          <t>Open ad</t>
        </is>
      </c>
    </row>
    <row r="57">
      <c r="A57" s="7" t="inlineStr">
        <is>
          <t>EdYoda</t>
        </is>
      </c>
      <c r="B57" s="7" t="inlineStr">
        <is>
          <t>Edtech: certifications</t>
        </is>
      </c>
      <c r="C57" s="8" t="inlineStr">
        <is>
          <t>813649275509075</t>
        </is>
      </c>
      <c r="D57" s="8" t="inlineStr">
        <is>
          <t>2173315916594355</t>
        </is>
      </c>
      <c r="E57" s="7" t="inlineStr">
        <is>
          <t>(no headline)</t>
        </is>
      </c>
      <c r="F57" s="9" t="n">
        <v>46290</v>
      </c>
      <c r="G57" s="15">
        <f>'Competitor Summary'!$B$3-F57</f>
        <v/>
      </c>
      <c r="H57" s="7" t="inlineStr">
        <is>
          <t>No headline (visual-led)</t>
        </is>
      </c>
      <c r="I57" s="14" t="inlineStr">
        <is>
          <t>Open ad</t>
        </is>
      </c>
    </row>
    <row r="58">
      <c r="A58" s="7" t="inlineStr">
        <is>
          <t>EdYoda</t>
        </is>
      </c>
      <c r="B58" s="7" t="inlineStr">
        <is>
          <t>Edtech: certifications</t>
        </is>
      </c>
      <c r="C58" s="8" t="inlineStr">
        <is>
          <t>813649275509075</t>
        </is>
      </c>
      <c r="D58" s="8" t="inlineStr">
        <is>
          <t>1822581235563534</t>
        </is>
      </c>
      <c r="E58" s="7" t="inlineStr">
        <is>
          <t>(no headline)</t>
        </is>
      </c>
      <c r="F58" s="9" t="n">
        <v>46290</v>
      </c>
      <c r="G58" s="15">
        <f>'Competitor Summary'!$B$3-F58</f>
        <v/>
      </c>
      <c r="H58" s="7" t="inlineStr">
        <is>
          <t>No headline (visual-led)</t>
        </is>
      </c>
      <c r="I58" s="14" t="inlineStr">
        <is>
          <t>Open ad</t>
        </is>
      </c>
    </row>
    <row r="59">
      <c r="A59" s="7" t="inlineStr">
        <is>
          <t>EdYoda</t>
        </is>
      </c>
      <c r="B59" s="7" t="inlineStr">
        <is>
          <t>Edtech: certifications</t>
        </is>
      </c>
      <c r="C59" s="8" t="inlineStr">
        <is>
          <t>813649275509075</t>
        </is>
      </c>
      <c r="D59" s="8" t="inlineStr">
        <is>
          <t>1769084650807668</t>
        </is>
      </c>
      <c r="E59" s="7" t="inlineStr">
        <is>
          <t>LIVE Classes on Forward Deployed Engineer Career Track from Top 1% Industry Experts | EdYoda Micro Degree</t>
        </is>
      </c>
      <c r="F59" s="9" t="n">
        <v>46290</v>
      </c>
      <c r="G59" s="15">
        <f>'Competitor Summary'!$B$3-F59</f>
        <v/>
      </c>
      <c r="H59" s="7" t="inlineStr">
        <is>
          <t>Transformation (become X)</t>
        </is>
      </c>
      <c r="I59" s="14" t="inlineStr">
        <is>
          <t>Open ad</t>
        </is>
      </c>
    </row>
    <row r="60">
      <c r="A60" s="7" t="inlineStr">
        <is>
          <t>EdYoda</t>
        </is>
      </c>
      <c r="B60" s="7" t="inlineStr">
        <is>
          <t>Edtech: certifications</t>
        </is>
      </c>
      <c r="C60" s="8" t="inlineStr">
        <is>
          <t>813649275509075</t>
        </is>
      </c>
      <c r="D60" s="8" t="inlineStr">
        <is>
          <t>4556200834594573</t>
        </is>
      </c>
      <c r="E60" s="7" t="inlineStr">
        <is>
          <t>(no headline)</t>
        </is>
      </c>
      <c r="F60" s="9" t="n">
        <v>46290</v>
      </c>
      <c r="G60" s="15">
        <f>'Competitor Summary'!$B$3-F60</f>
        <v/>
      </c>
      <c r="H60" s="7" t="inlineStr">
        <is>
          <t>No headline (visual-led)</t>
        </is>
      </c>
      <c r="I60" s="14" t="inlineStr">
        <is>
          <t>Open ad</t>
        </is>
      </c>
    </row>
    <row r="61">
      <c r="A61" s="7" t="inlineStr">
        <is>
          <t>EdYoda</t>
        </is>
      </c>
      <c r="B61" s="7" t="inlineStr">
        <is>
          <t>Edtech: certifications</t>
        </is>
      </c>
      <c r="C61" s="8" t="inlineStr">
        <is>
          <t>813649275509075</t>
        </is>
      </c>
      <c r="D61" s="8" t="inlineStr">
        <is>
          <t>28380128761657067</t>
        </is>
      </c>
      <c r="E61" s="7" t="inlineStr">
        <is>
          <t>(no headline)</t>
        </is>
      </c>
      <c r="F61" s="9" t="n">
        <v>46290</v>
      </c>
      <c r="G61" s="15">
        <f>'Competitor Summary'!$B$3-F61</f>
        <v/>
      </c>
      <c r="H61" s="7" t="inlineStr">
        <is>
          <t>No headline (visual-led)</t>
        </is>
      </c>
      <c r="I61" s="14" t="inlineStr">
        <is>
          <t>Open ad</t>
        </is>
      </c>
    </row>
    <row r="62">
      <c r="A62" s="7" t="inlineStr">
        <is>
          <t>EdYoda</t>
        </is>
      </c>
      <c r="B62" s="7" t="inlineStr">
        <is>
          <t>Edtech: certifications</t>
        </is>
      </c>
      <c r="C62" s="8" t="inlineStr">
        <is>
          <t>813649275509075</t>
        </is>
      </c>
      <c r="D62" s="8" t="inlineStr">
        <is>
          <t>2289414581806508</t>
        </is>
      </c>
      <c r="E62" s="7" t="inlineStr">
        <is>
          <t>👉Become a CERTIFIED DATABRICKS DATA ENGINEER🚀</t>
        </is>
      </c>
      <c r="F62" s="9" t="n">
        <v>46290</v>
      </c>
      <c r="G62" s="15">
        <f>'Competitor Summary'!$B$3-F62</f>
        <v/>
      </c>
      <c r="H62" s="7" t="inlineStr">
        <is>
          <t>Transformation (become X)</t>
        </is>
      </c>
      <c r="I62" s="14" t="inlineStr">
        <is>
          <t>Open ad</t>
        </is>
      </c>
    </row>
    <row r="63">
      <c r="A63" s="7" t="inlineStr">
        <is>
          <t>EdYoda</t>
        </is>
      </c>
      <c r="B63" s="7" t="inlineStr">
        <is>
          <t>Edtech: certifications</t>
        </is>
      </c>
      <c r="C63" s="8" t="inlineStr">
        <is>
          <t>813649275509075</t>
        </is>
      </c>
      <c r="D63" s="8" t="inlineStr">
        <is>
          <t>3341823226205630</t>
        </is>
      </c>
      <c r="E63" s="7" t="inlineStr">
        <is>
          <t>👉Become a CERTIFIED Governance, Risk &amp; Compliance Manager🚀</t>
        </is>
      </c>
      <c r="F63" s="9" t="n">
        <v>46290</v>
      </c>
      <c r="G63" s="15">
        <f>'Competitor Summary'!$B$3-F63</f>
        <v/>
      </c>
      <c r="H63" s="7" t="inlineStr">
        <is>
          <t>Transformation (become X)</t>
        </is>
      </c>
      <c r="I63" s="14" t="inlineStr">
        <is>
          <t>Open ad</t>
        </is>
      </c>
    </row>
    <row r="64">
      <c r="A64" s="7" t="inlineStr">
        <is>
          <t>EdYoda</t>
        </is>
      </c>
      <c r="B64" s="7" t="inlineStr">
        <is>
          <t>Edtech: certifications</t>
        </is>
      </c>
      <c r="C64" s="8" t="inlineStr">
        <is>
          <t>813649275509075</t>
        </is>
      </c>
      <c r="D64" s="8" t="inlineStr">
        <is>
          <t>1686230630182670</t>
        </is>
      </c>
      <c r="E64" s="7" t="inlineStr">
        <is>
          <t>👉Become a CERTIFIED FORWARD DEPLOYED ENGINEER (FDE)🚀</t>
        </is>
      </c>
      <c r="F64" s="9" t="n">
        <v>46290</v>
      </c>
      <c r="G64" s="15">
        <f>'Competitor Summary'!$B$3-F64</f>
        <v/>
      </c>
      <c r="H64" s="7" t="inlineStr">
        <is>
          <t>Transformation (become X)</t>
        </is>
      </c>
      <c r="I64" s="14" t="inlineStr">
        <is>
          <t>Open ad</t>
        </is>
      </c>
    </row>
    <row r="65">
      <c r="A65" s="7" t="inlineStr">
        <is>
          <t>EdYoda</t>
        </is>
      </c>
      <c r="B65" s="7" t="inlineStr">
        <is>
          <t>Edtech: certifications</t>
        </is>
      </c>
      <c r="C65" s="8" t="inlineStr">
        <is>
          <t>813649275509075</t>
        </is>
      </c>
      <c r="D65" s="8" t="inlineStr">
        <is>
          <t>1423625566572272</t>
        </is>
      </c>
      <c r="E65" s="7" t="inlineStr">
        <is>
          <t>👉Become a CERTIFIED DATABRICKS DATA ENGINEER🚀</t>
        </is>
      </c>
      <c r="F65" s="9" t="n">
        <v>46290</v>
      </c>
      <c r="G65" s="15">
        <f>'Competitor Summary'!$B$3-F65</f>
        <v/>
      </c>
      <c r="H65" s="7" t="inlineStr">
        <is>
          <t>Transformation (become X)</t>
        </is>
      </c>
      <c r="I65" s="14" t="inlineStr">
        <is>
          <t>Open ad</t>
        </is>
      </c>
    </row>
    <row r="66">
      <c r="A66" s="7" t="inlineStr">
        <is>
          <t>EdYoda</t>
        </is>
      </c>
      <c r="B66" s="7" t="inlineStr">
        <is>
          <t>Edtech: certifications</t>
        </is>
      </c>
      <c r="C66" s="8" t="inlineStr">
        <is>
          <t>813649275509075</t>
        </is>
      </c>
      <c r="D66" s="8" t="inlineStr">
        <is>
          <t>1391089893238944</t>
        </is>
      </c>
      <c r="E66" s="7" t="inlineStr">
        <is>
          <t>👉Become a CERTIFIED AI SOLUTIONS ARCHITECT🚀</t>
        </is>
      </c>
      <c r="F66" s="9" t="n">
        <v>46290</v>
      </c>
      <c r="G66" s="15">
        <f>'Competitor Summary'!$B$3-F66</f>
        <v/>
      </c>
      <c r="H66" s="7" t="inlineStr">
        <is>
          <t>Transformation (become X)</t>
        </is>
      </c>
      <c r="I66" s="14" t="inlineStr">
        <is>
          <t>Open ad</t>
        </is>
      </c>
    </row>
    <row r="67">
      <c r="A67" s="7" t="inlineStr">
        <is>
          <t>EdYoda</t>
        </is>
      </c>
      <c r="B67" s="7" t="inlineStr">
        <is>
          <t>Edtech: certifications</t>
        </is>
      </c>
      <c r="C67" s="8" t="inlineStr">
        <is>
          <t>813649275509075</t>
        </is>
      </c>
      <c r="D67" s="8" t="inlineStr">
        <is>
          <t>2098166687492675</t>
        </is>
      </c>
      <c r="E67" s="7" t="inlineStr">
        <is>
          <t>👉Become a CERTIFIED AI SOLUTIONS ARCHITECT🚀</t>
        </is>
      </c>
      <c r="F67" s="9" t="n">
        <v>46290</v>
      </c>
      <c r="G67" s="15">
        <f>'Competitor Summary'!$B$3-F67</f>
        <v/>
      </c>
      <c r="H67" s="7" t="inlineStr">
        <is>
          <t>Transformation (become X)</t>
        </is>
      </c>
      <c r="I67" s="14" t="inlineStr">
        <is>
          <t>Open ad</t>
        </is>
      </c>
    </row>
    <row r="68">
      <c r="A68" s="7" t="inlineStr">
        <is>
          <t>EdYoda</t>
        </is>
      </c>
      <c r="B68" s="7" t="inlineStr">
        <is>
          <t>Edtech: certifications</t>
        </is>
      </c>
      <c r="C68" s="8" t="inlineStr">
        <is>
          <t>813649275509075</t>
        </is>
      </c>
      <c r="D68" s="8" t="inlineStr">
        <is>
          <t>1418738870472291</t>
        </is>
      </c>
      <c r="E68" s="7" t="inlineStr">
        <is>
          <t>👉Become a CERTIFIED AI SOLUTIONS ARCHITECT🚀</t>
        </is>
      </c>
      <c r="F68" s="9" t="n">
        <v>46289</v>
      </c>
      <c r="G68" s="15">
        <f>'Competitor Summary'!$B$3-F68</f>
        <v/>
      </c>
      <c r="H68" s="7" t="inlineStr">
        <is>
          <t>Transformation (become X)</t>
        </is>
      </c>
      <c r="I68" s="14" t="inlineStr">
        <is>
          <t>Open ad</t>
        </is>
      </c>
    </row>
    <row r="69">
      <c r="A69" s="7" t="inlineStr">
        <is>
          <t>EdYoda</t>
        </is>
      </c>
      <c r="B69" s="7" t="inlineStr">
        <is>
          <t>Edtech: certifications</t>
        </is>
      </c>
      <c r="C69" s="8" t="inlineStr">
        <is>
          <t>813649275509075</t>
        </is>
      </c>
      <c r="D69" s="8" t="inlineStr">
        <is>
          <t>1631305081858324</t>
        </is>
      </c>
      <c r="E69" s="7" t="inlineStr">
        <is>
          <t>👉Become a CERTIFIED Governance, Risk &amp; Compliance Manager🚀</t>
        </is>
      </c>
      <c r="F69" s="9" t="n">
        <v>46289</v>
      </c>
      <c r="G69" s="15">
        <f>'Competitor Summary'!$B$3-F69</f>
        <v/>
      </c>
      <c r="H69" s="7" t="inlineStr">
        <is>
          <t>Transformation (become X)</t>
        </is>
      </c>
      <c r="I69" s="14" t="inlineStr">
        <is>
          <t>Open ad</t>
        </is>
      </c>
    </row>
    <row r="70">
      <c r="A70" s="7" t="inlineStr">
        <is>
          <t>EdYoda</t>
        </is>
      </c>
      <c r="B70" s="7" t="inlineStr">
        <is>
          <t>Edtech: certifications</t>
        </is>
      </c>
      <c r="C70" s="8" t="inlineStr">
        <is>
          <t>813649275509075</t>
        </is>
      </c>
      <c r="D70" s="8" t="inlineStr">
        <is>
          <t>1112684434434410</t>
        </is>
      </c>
      <c r="E70" s="7" t="inlineStr">
        <is>
          <t>👉Become a CERTIFIED Governance, Risk &amp; Compliance Manager🚀</t>
        </is>
      </c>
      <c r="F70" s="9" t="n">
        <v>46289</v>
      </c>
      <c r="G70" s="15">
        <f>'Competitor Summary'!$B$3-F70</f>
        <v/>
      </c>
      <c r="H70" s="7" t="inlineStr">
        <is>
          <t>Transformation (become X)</t>
        </is>
      </c>
      <c r="I70" s="14" t="inlineStr">
        <is>
          <t>Open ad</t>
        </is>
      </c>
    </row>
    <row r="71">
      <c r="A71" s="7" t="inlineStr">
        <is>
          <t>EdYoda</t>
        </is>
      </c>
      <c r="B71" s="7" t="inlineStr">
        <is>
          <t>Edtech: certifications</t>
        </is>
      </c>
      <c r="C71" s="8" t="inlineStr">
        <is>
          <t>813649275509075</t>
        </is>
      </c>
      <c r="D71" s="8" t="inlineStr">
        <is>
          <t>892557287122531</t>
        </is>
      </c>
      <c r="E71" s="7" t="inlineStr">
        <is>
          <t>👉Become a CERTIFIED Governance, Risk &amp; Compliance Manager🚀</t>
        </is>
      </c>
      <c r="F71" s="9" t="n">
        <v>46289</v>
      </c>
      <c r="G71" s="15">
        <f>'Competitor Summary'!$B$3-F71</f>
        <v/>
      </c>
      <c r="H71" s="7" t="inlineStr">
        <is>
          <t>Transformation (become X)</t>
        </is>
      </c>
      <c r="I71" s="14" t="inlineStr">
        <is>
          <t>Open ad</t>
        </is>
      </c>
    </row>
    <row r="72">
      <c r="A72" s="7" t="inlineStr">
        <is>
          <t>EdYoda</t>
        </is>
      </c>
      <c r="B72" s="7" t="inlineStr">
        <is>
          <t>Edtech: certifications</t>
        </is>
      </c>
      <c r="C72" s="8" t="inlineStr">
        <is>
          <t>813649275509075</t>
        </is>
      </c>
      <c r="D72" s="8" t="inlineStr">
        <is>
          <t>2071062717115300</t>
        </is>
      </c>
      <c r="E72" s="7" t="inlineStr">
        <is>
          <t>👉Become a CERTIFIED Governance, Risk &amp; Compliance Manager🚀</t>
        </is>
      </c>
      <c r="F72" s="9" t="n">
        <v>46289</v>
      </c>
      <c r="G72" s="15">
        <f>'Competitor Summary'!$B$3-F72</f>
        <v/>
      </c>
      <c r="H72" s="7" t="inlineStr">
        <is>
          <t>Transformation (become X)</t>
        </is>
      </c>
      <c r="I72" s="14" t="inlineStr">
        <is>
          <t>Open ad</t>
        </is>
      </c>
    </row>
    <row r="73">
      <c r="A73" s="7" t="inlineStr">
        <is>
          <t>EdYoda</t>
        </is>
      </c>
      <c r="B73" s="7" t="inlineStr">
        <is>
          <t>Edtech: certifications</t>
        </is>
      </c>
      <c r="C73" s="8" t="inlineStr">
        <is>
          <t>813649275509075</t>
        </is>
      </c>
      <c r="D73" s="8" t="inlineStr">
        <is>
          <t>2083645638910860</t>
        </is>
      </c>
      <c r="E73" s="7" t="inlineStr">
        <is>
          <t>👉Become a CERTIFIED AI SOLUTIONS ARCHITECT🚀</t>
        </is>
      </c>
      <c r="F73" s="9" t="n">
        <v>46288</v>
      </c>
      <c r="G73" s="15">
        <f>'Competitor Summary'!$B$3-F73</f>
        <v/>
      </c>
      <c r="H73" s="7" t="inlineStr">
        <is>
          <t>Transformation (become X)</t>
        </is>
      </c>
      <c r="I73" s="14" t="inlineStr">
        <is>
          <t>Open ad</t>
        </is>
      </c>
    </row>
    <row r="74">
      <c r="A74" s="7" t="inlineStr">
        <is>
          <t>EdYoda</t>
        </is>
      </c>
      <c r="B74" s="7" t="inlineStr">
        <is>
          <t>Edtech: certifications</t>
        </is>
      </c>
      <c r="C74" s="8" t="inlineStr">
        <is>
          <t>813649275509075</t>
        </is>
      </c>
      <c r="D74" s="8" t="inlineStr">
        <is>
          <t>1087695204026081</t>
        </is>
      </c>
      <c r="E74" s="7" t="inlineStr">
        <is>
          <t>👉Become a CERTIFIED FORWARD DEPLOYED ENGINEER (FDE)🚀</t>
        </is>
      </c>
      <c r="F74" s="9" t="n">
        <v>46288</v>
      </c>
      <c r="G74" s="15">
        <f>'Competitor Summary'!$B$3-F74</f>
        <v/>
      </c>
      <c r="H74" s="7" t="inlineStr">
        <is>
          <t>Transformation (become X)</t>
        </is>
      </c>
      <c r="I74" s="14" t="inlineStr">
        <is>
          <t>Open ad</t>
        </is>
      </c>
    </row>
    <row r="75">
      <c r="A75" s="7" t="inlineStr">
        <is>
          <t>EdYoda</t>
        </is>
      </c>
      <c r="B75" s="7" t="inlineStr">
        <is>
          <t>Edtech: certifications</t>
        </is>
      </c>
      <c r="C75" s="8" t="inlineStr">
        <is>
          <t>813649275509075</t>
        </is>
      </c>
      <c r="D75" s="8" t="inlineStr">
        <is>
          <t>941077828561987</t>
        </is>
      </c>
      <c r="E75" s="7" t="inlineStr">
        <is>
          <t>👉Become a CERTIFIED AI AGENT DEVELOPMENT Engineer🚀</t>
        </is>
      </c>
      <c r="F75" s="9" t="n">
        <v>46288</v>
      </c>
      <c r="G75" s="15">
        <f>'Competitor Summary'!$B$3-F75</f>
        <v/>
      </c>
      <c r="H75" s="7" t="inlineStr">
        <is>
          <t>Transformation (become X)</t>
        </is>
      </c>
      <c r="I75" s="14" t="inlineStr">
        <is>
          <t>Open ad</t>
        </is>
      </c>
    </row>
    <row r="76">
      <c r="A76" s="7" t="inlineStr">
        <is>
          <t>EdYoda</t>
        </is>
      </c>
      <c r="B76" s="7" t="inlineStr">
        <is>
          <t>Edtech: certifications</t>
        </is>
      </c>
      <c r="C76" s="8" t="inlineStr">
        <is>
          <t>813649275509075</t>
        </is>
      </c>
      <c r="D76" s="8" t="inlineStr">
        <is>
          <t>1071265982551888</t>
        </is>
      </c>
      <c r="E76" s="7" t="inlineStr">
        <is>
          <t>👉Become a CERTIFIED AI SOLUTIONS ARCHITECT🚀</t>
        </is>
      </c>
      <c r="F76" s="9" t="n">
        <v>46288</v>
      </c>
      <c r="G76" s="15">
        <f>'Competitor Summary'!$B$3-F76</f>
        <v/>
      </c>
      <c r="H76" s="7" t="inlineStr">
        <is>
          <t>Transformation (become X)</t>
        </is>
      </c>
      <c r="I76" s="14" t="inlineStr">
        <is>
          <t>Open ad</t>
        </is>
      </c>
    </row>
    <row r="77">
      <c r="A77" s="7" t="inlineStr">
        <is>
          <t>EdYoda</t>
        </is>
      </c>
      <c r="B77" s="7" t="inlineStr">
        <is>
          <t>Edtech: certifications</t>
        </is>
      </c>
      <c r="C77" s="8" t="inlineStr">
        <is>
          <t>813649275509075</t>
        </is>
      </c>
      <c r="D77" s="8" t="inlineStr">
        <is>
          <t>1801197297965340</t>
        </is>
      </c>
      <c r="E77" s="7" t="inlineStr">
        <is>
          <t>👉Become a CERTIFIED AI AGENT DEVELOPMENT Engineer🚀</t>
        </is>
      </c>
      <c r="F77" s="9" t="n">
        <v>46288</v>
      </c>
      <c r="G77" s="15">
        <f>'Competitor Summary'!$B$3-F77</f>
        <v/>
      </c>
      <c r="H77" s="7" t="inlineStr">
        <is>
          <t>Transformation (become X)</t>
        </is>
      </c>
      <c r="I77" s="14" t="inlineStr">
        <is>
          <t>Open ad</t>
        </is>
      </c>
    </row>
    <row r="78">
      <c r="A78" s="7" t="inlineStr">
        <is>
          <t>EdYoda</t>
        </is>
      </c>
      <c r="B78" s="7" t="inlineStr">
        <is>
          <t>Edtech: certifications</t>
        </is>
      </c>
      <c r="C78" s="8" t="inlineStr">
        <is>
          <t>813649275509075</t>
        </is>
      </c>
      <c r="D78" s="8" t="inlineStr">
        <is>
          <t>1454093209868309</t>
        </is>
      </c>
      <c r="E78" s="7" t="inlineStr">
        <is>
          <t>👉Become a CERTIFIED AI AGENT DEVELOPMENT Engineer🚀</t>
        </is>
      </c>
      <c r="F78" s="9" t="n">
        <v>46288</v>
      </c>
      <c r="G78" s="15">
        <f>'Competitor Summary'!$B$3-F78</f>
        <v/>
      </c>
      <c r="H78" s="7" t="inlineStr">
        <is>
          <t>Transformation (become X)</t>
        </is>
      </c>
      <c r="I78" s="14" t="inlineStr">
        <is>
          <t>Open ad</t>
        </is>
      </c>
    </row>
    <row r="79">
      <c r="A79" s="7" t="inlineStr">
        <is>
          <t>EdYoda</t>
        </is>
      </c>
      <c r="B79" s="7" t="inlineStr">
        <is>
          <t>Edtech: certifications</t>
        </is>
      </c>
      <c r="C79" s="8" t="inlineStr">
        <is>
          <t>813649275509075</t>
        </is>
      </c>
      <c r="D79" s="8" t="inlineStr">
        <is>
          <t>1624590192527259</t>
        </is>
      </c>
      <c r="E79" s="7" t="inlineStr">
        <is>
          <t>👉Become a CERTIFIED AI SOLUTIONS ARCHITECT🚀</t>
        </is>
      </c>
      <c r="F79" s="9" t="n">
        <v>46287</v>
      </c>
      <c r="G79" s="15">
        <f>'Competitor Summary'!$B$3-F79</f>
        <v/>
      </c>
      <c r="H79" s="7" t="inlineStr">
        <is>
          <t>Transformation (become X)</t>
        </is>
      </c>
      <c r="I79" s="14" t="inlineStr">
        <is>
          <t>Open ad</t>
        </is>
      </c>
    </row>
    <row r="80">
      <c r="A80" s="7" t="inlineStr">
        <is>
          <t>EdYoda</t>
        </is>
      </c>
      <c r="B80" s="7" t="inlineStr">
        <is>
          <t>Edtech: certifications</t>
        </is>
      </c>
      <c r="C80" s="8" t="inlineStr">
        <is>
          <t>813649275509075</t>
        </is>
      </c>
      <c r="D80" s="8" t="inlineStr">
        <is>
          <t>1560370345223984</t>
        </is>
      </c>
      <c r="E80" s="7" t="inlineStr">
        <is>
          <t>👉Become a CERTIFIED AI SOLUTIONS ARCHITECT🚀</t>
        </is>
      </c>
      <c r="F80" s="9" t="n">
        <v>46287</v>
      </c>
      <c r="G80" s="15">
        <f>'Competitor Summary'!$B$3-F80</f>
        <v/>
      </c>
      <c r="H80" s="7" t="inlineStr">
        <is>
          <t>Transformation (become X)</t>
        </is>
      </c>
      <c r="I80" s="14" t="inlineStr">
        <is>
          <t>Open ad</t>
        </is>
      </c>
    </row>
    <row r="81">
      <c r="A81" s="7" t="inlineStr">
        <is>
          <t>EdYoda</t>
        </is>
      </c>
      <c r="B81" s="7" t="inlineStr">
        <is>
          <t>Edtech: certifications</t>
        </is>
      </c>
      <c r="C81" s="8" t="inlineStr">
        <is>
          <t>813649275509075</t>
        </is>
      </c>
      <c r="D81" s="8" t="inlineStr">
        <is>
          <t>1781695216368580</t>
        </is>
      </c>
      <c r="E81" s="7" t="inlineStr">
        <is>
          <t>👉Become a CERTIFIED AI SOLUTIONS ARCHITECT🚀</t>
        </is>
      </c>
      <c r="F81" s="9" t="n">
        <v>46287</v>
      </c>
      <c r="G81" s="15">
        <f>'Competitor Summary'!$B$3-F81</f>
        <v/>
      </c>
      <c r="H81" s="7" t="inlineStr">
        <is>
          <t>Transformation (become X)</t>
        </is>
      </c>
      <c r="I81" s="14" t="inlineStr">
        <is>
          <t>Open ad</t>
        </is>
      </c>
    </row>
    <row r="82">
      <c r="A82" s="7" t="inlineStr">
        <is>
          <t>EdYoda</t>
        </is>
      </c>
      <c r="B82" s="7" t="inlineStr">
        <is>
          <t>Edtech: certifications</t>
        </is>
      </c>
      <c r="C82" s="8" t="inlineStr">
        <is>
          <t>813649275509075</t>
        </is>
      </c>
      <c r="D82" s="8" t="inlineStr">
        <is>
          <t>967869792252466</t>
        </is>
      </c>
      <c r="E82" s="7" t="inlineStr">
        <is>
          <t>👉Become a CERTIFIED AI SOLUTIONS ARCHITECT🚀</t>
        </is>
      </c>
      <c r="F82" s="9" t="n">
        <v>46287</v>
      </c>
      <c r="G82" s="15">
        <f>'Competitor Summary'!$B$3-F82</f>
        <v/>
      </c>
      <c r="H82" s="7" t="inlineStr">
        <is>
          <t>Transformation (become X)</t>
        </is>
      </c>
      <c r="I82" s="14" t="inlineStr">
        <is>
          <t>Open ad</t>
        </is>
      </c>
    </row>
    <row r="83">
      <c r="A83" s="7" t="inlineStr">
        <is>
          <t>EdYoda</t>
        </is>
      </c>
      <c r="B83" s="7" t="inlineStr">
        <is>
          <t>Edtech: certifications</t>
        </is>
      </c>
      <c r="C83" s="8" t="inlineStr">
        <is>
          <t>813649275509075</t>
        </is>
      </c>
      <c r="D83" s="8" t="inlineStr">
        <is>
          <t>1079922871109856</t>
        </is>
      </c>
      <c r="E83" s="7" t="inlineStr">
        <is>
          <t>👉Become a CERTIFIED DRONE DEVELOPMENT ENGINEER🚀</t>
        </is>
      </c>
      <c r="F83" s="9" t="n">
        <v>46287</v>
      </c>
      <c r="G83" s="15">
        <f>'Competitor Summary'!$B$3-F83</f>
        <v/>
      </c>
      <c r="H83" s="7" t="inlineStr">
        <is>
          <t>Transformation (become X)</t>
        </is>
      </c>
      <c r="I83" s="14" t="inlineStr">
        <is>
          <t>Open ad</t>
        </is>
      </c>
    </row>
    <row r="84">
      <c r="A84" s="7" t="inlineStr">
        <is>
          <t>EdYoda</t>
        </is>
      </c>
      <c r="B84" s="7" t="inlineStr">
        <is>
          <t>Edtech: certifications</t>
        </is>
      </c>
      <c r="C84" s="8" t="inlineStr">
        <is>
          <t>813649275509075</t>
        </is>
      </c>
      <c r="D84" s="8" t="inlineStr">
        <is>
          <t>1120477080330151</t>
        </is>
      </c>
      <c r="E84" s="7" t="inlineStr">
        <is>
          <t>👉Become a CERTIFIED DATABRICKS DATA ENGINEER🚀</t>
        </is>
      </c>
      <c r="F84" s="9" t="n">
        <v>46287</v>
      </c>
      <c r="G84" s="15">
        <f>'Competitor Summary'!$B$3-F84</f>
        <v/>
      </c>
      <c r="H84" s="7" t="inlineStr">
        <is>
          <t>Transformation (become X)</t>
        </is>
      </c>
      <c r="I84" s="14" t="inlineStr">
        <is>
          <t>Open ad</t>
        </is>
      </c>
    </row>
    <row r="85">
      <c r="A85" s="7" t="inlineStr">
        <is>
          <t>EdYoda</t>
        </is>
      </c>
      <c r="B85" s="7" t="inlineStr">
        <is>
          <t>Edtech: certifications</t>
        </is>
      </c>
      <c r="C85" s="8" t="inlineStr">
        <is>
          <t>813649275509075</t>
        </is>
      </c>
      <c r="D85" s="8" t="inlineStr">
        <is>
          <t>1785074339398672</t>
        </is>
      </c>
      <c r="E85" s="7" t="inlineStr">
        <is>
          <t>👉Become a CERTIFIED DRONE DEVELOPMENT ENGINEER🚀</t>
        </is>
      </c>
      <c r="F85" s="9" t="n">
        <v>46287</v>
      </c>
      <c r="G85" s="15">
        <f>'Competitor Summary'!$B$3-F85</f>
        <v/>
      </c>
      <c r="H85" s="7" t="inlineStr">
        <is>
          <t>Transformation (become X)</t>
        </is>
      </c>
      <c r="I85" s="14" t="inlineStr">
        <is>
          <t>Open ad</t>
        </is>
      </c>
    </row>
    <row r="86">
      <c r="A86" s="7" t="inlineStr">
        <is>
          <t>EdYoda</t>
        </is>
      </c>
      <c r="B86" s="7" t="inlineStr">
        <is>
          <t>Edtech: certifications</t>
        </is>
      </c>
      <c r="C86" s="8" t="inlineStr">
        <is>
          <t>813649275509075</t>
        </is>
      </c>
      <c r="D86" s="8" t="inlineStr">
        <is>
          <t>1848296909660226</t>
        </is>
      </c>
      <c r="E86" s="7" t="inlineStr">
        <is>
          <t>👉Become a CERTIFIED DRONE DEVELOPMENT ENGINEER🚀</t>
        </is>
      </c>
      <c r="F86" s="9" t="n">
        <v>46287</v>
      </c>
      <c r="G86" s="15">
        <f>'Competitor Summary'!$B$3-F86</f>
        <v/>
      </c>
      <c r="H86" s="7" t="inlineStr">
        <is>
          <t>Transformation (become X)</t>
        </is>
      </c>
      <c r="I86" s="14" t="inlineStr">
        <is>
          <t>Open ad</t>
        </is>
      </c>
    </row>
    <row r="87">
      <c r="A87" s="7" t="inlineStr">
        <is>
          <t>Open Source India</t>
        </is>
      </c>
      <c r="B87" s="7" t="inlineStr">
        <is>
          <t>Tech conference</t>
        </is>
      </c>
      <c r="C87" s="8" t="inlineStr">
        <is>
          <t>296874510990</t>
        </is>
      </c>
      <c r="D87" s="8" t="inlineStr">
        <is>
          <t>1296774375819514</t>
        </is>
      </c>
      <c r="E87" s="7" t="inlineStr">
        <is>
          <t>Secure Your LLM Apps for Production</t>
        </is>
      </c>
      <c r="F87" s="9" t="n">
        <v>46293</v>
      </c>
      <c r="G87" s="15">
        <f>'Competitor Summary'!$B$3-F87</f>
        <v/>
      </c>
      <c r="H87" s="7" t="inlineStr">
        <is>
          <t>Event / talk titles</t>
        </is>
      </c>
      <c r="I87" s="14" t="inlineStr">
        <is>
          <t>Open ad</t>
        </is>
      </c>
    </row>
    <row r="88">
      <c r="A88" s="7" t="inlineStr">
        <is>
          <t>Open Source India</t>
        </is>
      </c>
      <c r="B88" s="7" t="inlineStr">
        <is>
          <t>Tech conference</t>
        </is>
      </c>
      <c r="C88" s="8" t="inlineStr">
        <is>
          <t>296874510990</t>
        </is>
      </c>
      <c r="D88" s="8" t="inlineStr">
        <is>
          <t>1524472366116540</t>
        </is>
      </c>
      <c r="E88" s="7" t="inlineStr">
        <is>
          <t>Secure Your LLM Apps for Production</t>
        </is>
      </c>
      <c r="F88" s="9" t="n">
        <v>46293</v>
      </c>
      <c r="G88" s="15">
        <f>'Competitor Summary'!$B$3-F88</f>
        <v/>
      </c>
      <c r="H88" s="7" t="inlineStr">
        <is>
          <t>Event / talk titles</t>
        </is>
      </c>
      <c r="I88" s="14" t="inlineStr">
        <is>
          <t>Open ad</t>
        </is>
      </c>
    </row>
    <row r="89">
      <c r="A89" s="7" t="inlineStr">
        <is>
          <t>Open Source India</t>
        </is>
      </c>
      <c r="B89" s="7" t="inlineStr">
        <is>
          <t>Tech conference</t>
        </is>
      </c>
      <c r="C89" s="8" t="inlineStr">
        <is>
          <t>296874510990</t>
        </is>
      </c>
      <c r="D89" s="8" t="inlineStr">
        <is>
          <t>925751613591319</t>
        </is>
      </c>
      <c r="E89" s="7" t="inlineStr">
        <is>
          <t>ChatGPT Wrote My Manifest | The 800 MB Lie | Build Your Own AI Kubernetes Assistant with MCP | eBPF Without the Magic | Architecting Observability at Scale in OpenSearch | DevOps for AI | Practicing Agentic DevOps</t>
        </is>
      </c>
      <c r="F89" s="9" t="n">
        <v>46293</v>
      </c>
      <c r="G89" s="15">
        <f>'Competitor Summary'!$B$3-F89</f>
        <v/>
      </c>
      <c r="H89" s="7" t="inlineStr">
        <is>
          <t>Event / talk titles</t>
        </is>
      </c>
      <c r="I89" s="14" t="inlineStr">
        <is>
          <t>Open ad</t>
        </is>
      </c>
    </row>
    <row r="90">
      <c r="A90" s="7" t="inlineStr">
        <is>
          <t>Open Source India</t>
        </is>
      </c>
      <c r="B90" s="7" t="inlineStr">
        <is>
          <t>Tech conference</t>
        </is>
      </c>
      <c r="C90" s="8" t="inlineStr">
        <is>
          <t>296874510990</t>
        </is>
      </c>
      <c r="D90" s="8" t="inlineStr">
        <is>
          <t>1758578985420711</t>
        </is>
      </c>
      <c r="E90" s="7" t="inlineStr">
        <is>
          <t>Built to Scale | DuckDB engine for MariaDB | Data Architecture for Agentic AI Systems</t>
        </is>
      </c>
      <c r="F90" s="9" t="n">
        <v>46293</v>
      </c>
      <c r="G90" s="15">
        <f>'Competitor Summary'!$B$3-F90</f>
        <v/>
      </c>
      <c r="H90" s="7" t="inlineStr">
        <is>
          <t>Event / talk titles</t>
        </is>
      </c>
      <c r="I90" s="14" t="inlineStr">
        <is>
          <t>Open ad</t>
        </is>
      </c>
    </row>
    <row r="91">
      <c r="A91" s="7" t="inlineStr">
        <is>
          <t>Open Source India</t>
        </is>
      </c>
      <c r="B91" s="7" t="inlineStr">
        <is>
          <t>Tech conference</t>
        </is>
      </c>
      <c r="C91" s="8" t="inlineStr">
        <is>
          <t>296874510990</t>
        </is>
      </c>
      <c r="D91" s="8" t="inlineStr">
        <is>
          <t>1405696424933916</t>
        </is>
      </c>
      <c r="E91" s="7" t="inlineStr">
        <is>
          <t>Licenses Are for Everyone | How India's Largest G2C Platform Migrated to FOSS and Broke Free from Oracle | ONLYOFFICE for developers | FOSS For Everyone</t>
        </is>
      </c>
      <c r="F91" s="9" t="n">
        <v>46293</v>
      </c>
      <c r="G91" s="15">
        <f>'Competitor Summary'!$B$3-F91</f>
        <v/>
      </c>
      <c r="H91" s="7" t="inlineStr">
        <is>
          <t>Event / talk titles</t>
        </is>
      </c>
      <c r="I91" s="14" t="inlineStr">
        <is>
          <t>Open ad</t>
        </is>
      </c>
    </row>
    <row r="92">
      <c r="A92" s="7" t="inlineStr">
        <is>
          <t>Open Source India</t>
        </is>
      </c>
      <c r="B92" s="7" t="inlineStr">
        <is>
          <t>Tech conference</t>
        </is>
      </c>
      <c r="C92" s="8" t="inlineStr">
        <is>
          <t>296874510990</t>
        </is>
      </c>
      <c r="D92" s="8" t="inlineStr">
        <is>
          <t>1804369360690145</t>
        </is>
      </c>
      <c r="E92" s="7" t="inlineStr">
        <is>
          <t>ChatGPT Wrote My Manifest | The 800 MB Lie | Build Your Own AI Kubernetes Assistant with MCP | eBPF Without the Magic | Architecting Observability at Scale in OpenSearch | DevOps for AI | Practicing Agentic DevOps</t>
        </is>
      </c>
      <c r="F92" s="9" t="n">
        <v>46293</v>
      </c>
      <c r="G92" s="15">
        <f>'Competitor Summary'!$B$3-F92</f>
        <v/>
      </c>
      <c r="H92" s="7" t="inlineStr">
        <is>
          <t>Event / talk titles</t>
        </is>
      </c>
      <c r="I92" s="14" t="inlineStr">
        <is>
          <t>Open ad</t>
        </is>
      </c>
    </row>
    <row r="93">
      <c r="A93" s="7" t="inlineStr">
        <is>
          <t>Open Source India</t>
        </is>
      </c>
      <c r="B93" s="7" t="inlineStr">
        <is>
          <t>Tech conference</t>
        </is>
      </c>
      <c r="C93" s="8" t="inlineStr">
        <is>
          <t>296874510990</t>
        </is>
      </c>
      <c r="D93" s="8" t="inlineStr">
        <is>
          <t>965237466625407</t>
        </is>
      </c>
      <c r="E93" s="7" t="inlineStr">
        <is>
          <t>ChatGPT Wrote My Manifest | The 800 MB Lie | Build Your Own AI Kubernetes Assistant with MCP | eBPF Without the Magic | Architecting Observability at Scale in OpenSearch | DevOps for AI | Practicing Agentic DevOps</t>
        </is>
      </c>
      <c r="F93" s="9" t="n">
        <v>46293</v>
      </c>
      <c r="G93" s="15">
        <f>'Competitor Summary'!$B$3-F93</f>
        <v/>
      </c>
      <c r="H93" s="7" t="inlineStr">
        <is>
          <t>Event / talk titles</t>
        </is>
      </c>
      <c r="I93" s="14" t="inlineStr">
        <is>
          <t>Open ad</t>
        </is>
      </c>
    </row>
    <row r="94">
      <c r="A94" s="7" t="inlineStr">
        <is>
          <t>Open Source India</t>
        </is>
      </c>
      <c r="B94" s="7" t="inlineStr">
        <is>
          <t>Tech conference</t>
        </is>
      </c>
      <c r="C94" s="8" t="inlineStr">
        <is>
          <t>296874510990</t>
        </is>
      </c>
      <c r="D94" s="8" t="inlineStr">
        <is>
          <t>1092576046463670</t>
        </is>
      </c>
      <c r="E94" s="7" t="inlineStr">
        <is>
          <t>ChatGPT Wrote My Manifest | The 800 MB Lie | Build Your Own AI Kubernetes Assistant with MCP | eBPF Without the Magic | Architecting Observability at Scale in OpenSearch | DevOps for AI | Practicing Agentic DevOps</t>
        </is>
      </c>
      <c r="F94" s="9" t="n">
        <v>46293</v>
      </c>
      <c r="G94" s="15">
        <f>'Competitor Summary'!$B$3-F94</f>
        <v/>
      </c>
      <c r="H94" s="7" t="inlineStr">
        <is>
          <t>Event / talk titles</t>
        </is>
      </c>
      <c r="I94" s="14" t="inlineStr">
        <is>
          <t>Open ad</t>
        </is>
      </c>
    </row>
    <row r="95">
      <c r="A95" s="7" t="inlineStr">
        <is>
          <t>Open Source India</t>
        </is>
      </c>
      <c r="B95" s="7" t="inlineStr">
        <is>
          <t>Tech conference</t>
        </is>
      </c>
      <c r="C95" s="8" t="inlineStr">
        <is>
          <t>296874510990</t>
        </is>
      </c>
      <c r="D95" s="8" t="inlineStr">
        <is>
          <t>1099856512781551</t>
        </is>
      </c>
      <c r="E95" s="7" t="inlineStr">
        <is>
          <t>Built to Scale | DuckDB engine for MariaDB | Data Architecture for Agentic AI Systems</t>
        </is>
      </c>
      <c r="F95" s="9" t="n">
        <v>46293</v>
      </c>
      <c r="G95" s="15">
        <f>'Competitor Summary'!$B$3-F95</f>
        <v/>
      </c>
      <c r="H95" s="7" t="inlineStr">
        <is>
          <t>Event / talk titles</t>
        </is>
      </c>
      <c r="I95" s="14" t="inlineStr">
        <is>
          <t>Open ad</t>
        </is>
      </c>
    </row>
    <row r="96">
      <c r="A96" s="7" t="inlineStr">
        <is>
          <t>Open Source India</t>
        </is>
      </c>
      <c r="B96" s="7" t="inlineStr">
        <is>
          <t>Tech conference</t>
        </is>
      </c>
      <c r="C96" s="8" t="inlineStr">
        <is>
          <t>296874510990</t>
        </is>
      </c>
      <c r="D96" s="8" t="inlineStr">
        <is>
          <t>1305730564897840</t>
        </is>
      </c>
      <c r="E96" s="7" t="inlineStr">
        <is>
          <t>Built to Scale | DuckDB engine for MariaDB | Data Architecture for Agentic AI Systems</t>
        </is>
      </c>
      <c r="F96" s="9" t="n">
        <v>46293</v>
      </c>
      <c r="G96" s="15">
        <f>'Competitor Summary'!$B$3-F96</f>
        <v/>
      </c>
      <c r="H96" s="7" t="inlineStr">
        <is>
          <t>Event / talk titles</t>
        </is>
      </c>
      <c r="I96" s="14" t="inlineStr">
        <is>
          <t>Open ad</t>
        </is>
      </c>
    </row>
    <row r="97">
      <c r="A97" s="7" t="inlineStr">
        <is>
          <t>Open Source India</t>
        </is>
      </c>
      <c r="B97" s="7" t="inlineStr">
        <is>
          <t>Tech conference</t>
        </is>
      </c>
      <c r="C97" s="8" t="inlineStr">
        <is>
          <t>296874510990</t>
        </is>
      </c>
      <c r="D97" s="8" t="inlineStr">
        <is>
          <t>945066124830731</t>
        </is>
      </c>
      <c r="E97" s="7" t="inlineStr">
        <is>
          <t>Built to Scale | DuckDB engine for MariaDB | Data Architecture for Agentic AI Systems</t>
        </is>
      </c>
      <c r="F97" s="9" t="n">
        <v>46293</v>
      </c>
      <c r="G97" s="15">
        <f>'Competitor Summary'!$B$3-F97</f>
        <v/>
      </c>
      <c r="H97" s="7" t="inlineStr">
        <is>
          <t>Event / talk titles</t>
        </is>
      </c>
      <c r="I97" s="14" t="inlineStr">
        <is>
          <t>Open ad</t>
        </is>
      </c>
    </row>
    <row r="98">
      <c r="A98" s="7" t="inlineStr">
        <is>
          <t>Open Source India</t>
        </is>
      </c>
      <c r="B98" s="7" t="inlineStr">
        <is>
          <t>Tech conference</t>
        </is>
      </c>
      <c r="C98" s="8" t="inlineStr">
        <is>
          <t>296874510990</t>
        </is>
      </c>
      <c r="D98" s="8" t="inlineStr">
        <is>
          <t>1596213048654100</t>
        </is>
      </c>
      <c r="E98" s="7" t="inlineStr">
        <is>
          <t>Switching Intelligence | Modular Intelligence with Granite Switch | Knowledge formats for humans and Agents | Why knowledge graphs matter for AI agents</t>
        </is>
      </c>
      <c r="F98" s="9" t="n">
        <v>46293</v>
      </c>
      <c r="G98" s="15">
        <f>'Competitor Summary'!$B$3-F98</f>
        <v/>
      </c>
      <c r="H98" s="7" t="inlineStr">
        <is>
          <t>Event / talk titles</t>
        </is>
      </c>
      <c r="I98" s="14" t="inlineStr">
        <is>
          <t>Open ad</t>
        </is>
      </c>
    </row>
    <row r="99">
      <c r="A99" s="7" t="inlineStr">
        <is>
          <t>Open Source India</t>
        </is>
      </c>
      <c r="B99" s="7" t="inlineStr">
        <is>
          <t>Tech conference</t>
        </is>
      </c>
      <c r="C99" s="8" t="inlineStr">
        <is>
          <t>296874510990</t>
        </is>
      </c>
      <c r="D99" s="8" t="inlineStr">
        <is>
          <t>881769258237710</t>
        </is>
      </c>
      <c r="E99" s="7" t="inlineStr">
        <is>
          <t>Switching Intelligence | Modular Intelligence with Granite Switch | Knowledge formats for humans and Agents | Why knowledge graphs matter for AI agents</t>
        </is>
      </c>
      <c r="F99" s="9" t="n">
        <v>46293</v>
      </c>
      <c r="G99" s="15">
        <f>'Competitor Summary'!$B$3-F99</f>
        <v/>
      </c>
      <c r="H99" s="7" t="inlineStr">
        <is>
          <t>Event / talk titles</t>
        </is>
      </c>
      <c r="I99" s="14" t="inlineStr">
        <is>
          <t>Open ad</t>
        </is>
      </c>
    </row>
    <row r="100">
      <c r="A100" s="7" t="inlineStr">
        <is>
          <t>Open Source India</t>
        </is>
      </c>
      <c r="B100" s="7" t="inlineStr">
        <is>
          <t>Tech conference</t>
        </is>
      </c>
      <c r="C100" s="8" t="inlineStr">
        <is>
          <t>296874510990</t>
        </is>
      </c>
      <c r="D100" s="8" t="inlineStr">
        <is>
          <t>1619572422871456</t>
        </is>
      </c>
      <c r="E100" s="7" t="inlineStr">
        <is>
          <t>Switching Intelligence | Modular Intelligence with Granite Switch | Knowledge formats for humans and Agents | Why knowledge graphs matter for AI agents</t>
        </is>
      </c>
      <c r="F100" s="9" t="n">
        <v>46293</v>
      </c>
      <c r="G100" s="15">
        <f>'Competitor Summary'!$B$3-F100</f>
        <v/>
      </c>
      <c r="H100" s="7" t="inlineStr">
        <is>
          <t>Event / talk titles</t>
        </is>
      </c>
      <c r="I100" s="14" t="inlineStr">
        <is>
          <t>Open ad</t>
        </is>
      </c>
    </row>
    <row r="101">
      <c r="A101" s="7" t="inlineStr">
        <is>
          <t>Open Source India</t>
        </is>
      </c>
      <c r="B101" s="7" t="inlineStr">
        <is>
          <t>Tech conference</t>
        </is>
      </c>
      <c r="C101" s="8" t="inlineStr">
        <is>
          <t>296874510990</t>
        </is>
      </c>
      <c r="D101" s="8" t="inlineStr">
        <is>
          <t>2598664450578503</t>
        </is>
      </c>
      <c r="E101" s="7" t="inlineStr">
        <is>
          <t>Switching Intelligence | Modular Intelligence with Granite Switch | Knowledge formats for humans and Agents | Why knowledge graphs matter for AI agents</t>
        </is>
      </c>
      <c r="F101" s="9" t="n">
        <v>46293</v>
      </c>
      <c r="G101" s="15">
        <f>'Competitor Summary'!$B$3-F101</f>
        <v/>
      </c>
      <c r="H101" s="7" t="inlineStr">
        <is>
          <t>Event / talk titles</t>
        </is>
      </c>
      <c r="I101" s="14" t="inlineStr">
        <is>
          <t>Open ad</t>
        </is>
      </c>
    </row>
    <row r="102">
      <c r="A102" s="7" t="inlineStr">
        <is>
          <t>Open Source India</t>
        </is>
      </c>
      <c r="B102" s="7" t="inlineStr">
        <is>
          <t>Tech conference</t>
        </is>
      </c>
      <c r="C102" s="8" t="inlineStr">
        <is>
          <t>296874510990</t>
        </is>
      </c>
      <c r="D102" s="8" t="inlineStr">
        <is>
          <t>1805393114218986</t>
        </is>
      </c>
      <c r="E102" s="7" t="inlineStr">
        <is>
          <t>Licenses Are for Everyone | How India's Largest G2C Platform Migrated to FOSS and Broke Free from Oracle | ONLYOFFICE for developers | FOSS For Everyone</t>
        </is>
      </c>
      <c r="F102" s="9" t="n">
        <v>46293</v>
      </c>
      <c r="G102" s="15">
        <f>'Competitor Summary'!$B$3-F102</f>
        <v/>
      </c>
      <c r="H102" s="7" t="inlineStr">
        <is>
          <t>Event / talk titles</t>
        </is>
      </c>
      <c r="I102" s="14" t="inlineStr">
        <is>
          <t>Open ad</t>
        </is>
      </c>
    </row>
    <row r="103">
      <c r="A103" s="7" t="inlineStr">
        <is>
          <t>Open Source India</t>
        </is>
      </c>
      <c r="B103" s="7" t="inlineStr">
        <is>
          <t>Tech conference</t>
        </is>
      </c>
      <c r="C103" s="8" t="inlineStr">
        <is>
          <t>296874510990</t>
        </is>
      </c>
      <c r="D103" s="8" t="inlineStr">
        <is>
          <t>1143663944855789</t>
        </is>
      </c>
      <c r="E103" s="7" t="inlineStr">
        <is>
          <t>Open Source Intelligence | From Rules to Agents | AI On-Call Engineer for Enterprises | Scaling LLM Training | Identity, Trust and Governance for Open Source AI Agents</t>
        </is>
      </c>
      <c r="F103" s="9" t="n">
        <v>46293</v>
      </c>
      <c r="G103" s="15">
        <f>'Competitor Summary'!$B$3-F103</f>
        <v/>
      </c>
      <c r="H103" s="7" t="inlineStr">
        <is>
          <t>Event / talk titles</t>
        </is>
      </c>
      <c r="I103" s="14" t="inlineStr">
        <is>
          <t>Open ad</t>
        </is>
      </c>
    </row>
    <row r="104">
      <c r="A104" s="7" t="inlineStr">
        <is>
          <t>Open Source India</t>
        </is>
      </c>
      <c r="B104" s="7" t="inlineStr">
        <is>
          <t>Tech conference</t>
        </is>
      </c>
      <c r="C104" s="8" t="inlineStr">
        <is>
          <t>296874510990</t>
        </is>
      </c>
      <c r="D104" s="8" t="inlineStr">
        <is>
          <t>1108453754957345</t>
        </is>
      </c>
      <c r="E104" s="7" t="inlineStr">
        <is>
          <t>Open Source Intelligence | From Rules to Agents | AI On-Call Engineer for Enterprises | Scaling LLM Training | Identity, Trust and Governance for Open Source AI Agents</t>
        </is>
      </c>
      <c r="F104" s="9" t="n">
        <v>46293</v>
      </c>
      <c r="G104" s="15">
        <f>'Competitor Summary'!$B$3-F104</f>
        <v/>
      </c>
      <c r="H104" s="7" t="inlineStr">
        <is>
          <t>Event / talk titles</t>
        </is>
      </c>
      <c r="I104" s="14" t="inlineStr">
        <is>
          <t>Open ad</t>
        </is>
      </c>
    </row>
    <row r="105">
      <c r="A105" s="7" t="inlineStr">
        <is>
          <t>Open Source India</t>
        </is>
      </c>
      <c r="B105" s="7" t="inlineStr">
        <is>
          <t>Tech conference</t>
        </is>
      </c>
      <c r="C105" s="8" t="inlineStr">
        <is>
          <t>296874510990</t>
        </is>
      </c>
      <c r="D105" s="8" t="inlineStr">
        <is>
          <t>1803788654135737</t>
        </is>
      </c>
      <c r="E105" s="7" t="inlineStr">
        <is>
          <t>Open Source Intelligence | From Rules to Agents | AI On-Call Engineer for Enterprises | Scaling LLM Training | Identity, Trust and Governance for Open Source AI Agents</t>
        </is>
      </c>
      <c r="F105" s="9" t="n">
        <v>46293</v>
      </c>
      <c r="G105" s="15">
        <f>'Competitor Summary'!$B$3-F105</f>
        <v/>
      </c>
      <c r="H105" s="7" t="inlineStr">
        <is>
          <t>Event / talk titles</t>
        </is>
      </c>
      <c r="I105" s="14" t="inlineStr">
        <is>
          <t>Open ad</t>
        </is>
      </c>
    </row>
    <row r="106">
      <c r="A106" s="7" t="inlineStr">
        <is>
          <t>Open Source India</t>
        </is>
      </c>
      <c r="B106" s="7" t="inlineStr">
        <is>
          <t>Tech conference</t>
        </is>
      </c>
      <c r="C106" s="8" t="inlineStr">
        <is>
          <t>296874510990</t>
        </is>
      </c>
      <c r="D106" s="8" t="inlineStr">
        <is>
          <t>1660166108814773</t>
        </is>
      </c>
      <c r="E106" s="7" t="inlineStr">
        <is>
          <t>Open Source Intelligence | From Rules to Agents | AI On-Call Engineer for Enterprises | Scaling LLM Training | Identity, Trust and Governance for Open Source AI Agents</t>
        </is>
      </c>
      <c r="F106" s="9" t="n">
        <v>46293</v>
      </c>
      <c r="G106" s="15">
        <f>'Competitor Summary'!$B$3-F106</f>
        <v/>
      </c>
      <c r="H106" s="7" t="inlineStr">
        <is>
          <t>Event / talk titles</t>
        </is>
      </c>
      <c r="I106" s="14" t="inlineStr">
        <is>
          <t>Open ad</t>
        </is>
      </c>
    </row>
    <row r="107">
      <c r="A107" s="7" t="inlineStr">
        <is>
          <t>Open Source India</t>
        </is>
      </c>
      <c r="B107" s="7" t="inlineStr">
        <is>
          <t>Tech conference</t>
        </is>
      </c>
      <c r="C107" s="8" t="inlineStr">
        <is>
          <t>296874510990</t>
        </is>
      </c>
      <c r="D107" s="8" t="inlineStr">
        <is>
          <t>1524485653070296</t>
        </is>
      </c>
      <c r="E107" s="7" t="inlineStr">
        <is>
          <t>Licenses Are for Everyone | How India's Largest G2C Platform Migrated to FOSS and Broke Free from Oracle | ONLYOFFICE for developers | FOSS For Everyone</t>
        </is>
      </c>
      <c r="F107" s="9" t="n">
        <v>46293</v>
      </c>
      <c r="G107" s="15">
        <f>'Competitor Summary'!$B$3-F107</f>
        <v/>
      </c>
      <c r="H107" s="7" t="inlineStr">
        <is>
          <t>Event / talk titles</t>
        </is>
      </c>
      <c r="I107" s="14" t="inlineStr">
        <is>
          <t>Open ad</t>
        </is>
      </c>
    </row>
    <row r="108">
      <c r="A108" s="7" t="inlineStr">
        <is>
          <t>Open Source India</t>
        </is>
      </c>
      <c r="B108" s="7" t="inlineStr">
        <is>
          <t>Tech conference</t>
        </is>
      </c>
      <c r="C108" s="8" t="inlineStr">
        <is>
          <t>296874510990</t>
        </is>
      </c>
      <c r="D108" s="8" t="inlineStr">
        <is>
          <t>1132078925956992</t>
        </is>
      </c>
      <c r="E108" s="7" t="inlineStr">
        <is>
          <t>Licenses Are for Everyone | How India's Largest G2C Platform Migrated to FOSS and Broke Free from Oracle | ONLYOFFICE for developers | FOSS For Everyone</t>
        </is>
      </c>
      <c r="F108" s="9" t="n">
        <v>46293</v>
      </c>
      <c r="G108" s="15">
        <f>'Competitor Summary'!$B$3-F108</f>
        <v/>
      </c>
      <c r="H108" s="7" t="inlineStr">
        <is>
          <t>Event / talk titles</t>
        </is>
      </c>
      <c r="I108" s="14" t="inlineStr">
        <is>
          <t>Open ad</t>
        </is>
      </c>
    </row>
    <row r="109">
      <c r="A109" s="7" t="inlineStr">
        <is>
          <t>Prism IT Hub</t>
        </is>
      </c>
      <c r="B109" s="7" t="inlineStr">
        <is>
          <t>Hiring (IT recruiter)</t>
        </is>
      </c>
      <c r="C109" s="8" t="inlineStr">
        <is>
          <t>1042916842245951</t>
        </is>
      </c>
      <c r="D109" s="8" t="inlineStr">
        <is>
          <t>1570863821744505</t>
        </is>
      </c>
      <c r="E109" s="7" t="inlineStr">
        <is>
          <t>TCS Hiring | 6+ Years | Apply Now</t>
        </is>
      </c>
      <c r="F109" s="9" t="n">
        <v>46291</v>
      </c>
      <c r="G109" s="15">
        <f>'Competitor Summary'!$B$3-F109</f>
        <v/>
      </c>
      <c r="H109" s="7" t="inlineStr">
        <is>
          <t>Experience call-out</t>
        </is>
      </c>
      <c r="I109" s="14" t="inlineStr">
        <is>
          <t>Open ad</t>
        </is>
      </c>
    </row>
    <row r="110">
      <c r="A110" s="7" t="inlineStr">
        <is>
          <t>Exano Technologies</t>
        </is>
      </c>
      <c r="B110" s="7" t="inlineStr">
        <is>
          <t>Hiring (IT)</t>
        </is>
      </c>
      <c r="C110" s="8" t="inlineStr">
        <is>
          <t>724936154033605</t>
        </is>
      </c>
      <c r="D110" s="8" t="inlineStr">
        <is>
          <t>1374769798168339</t>
        </is>
      </c>
      <c r="E110" s="7" t="inlineStr">
        <is>
          <t>Upload your resume</t>
        </is>
      </c>
      <c r="F110" s="9" t="n">
        <v>46277</v>
      </c>
      <c r="G110" s="15">
        <f>'Competitor Summary'!$B$3-F110</f>
        <v/>
      </c>
      <c r="H110" s="7" t="inlineStr">
        <is>
          <t>Job / hiring offer</t>
        </is>
      </c>
      <c r="I110" s="14" t="inlineStr">
        <is>
          <t>Open ad</t>
        </is>
      </c>
    </row>
    <row r="111">
      <c r="A111" s="7" t="inlineStr">
        <is>
          <t>R9ST IT Academy</t>
        </is>
      </c>
      <c r="B111" s="7" t="inlineStr">
        <is>
          <t>Edtech: DevOps / AWS training</t>
        </is>
      </c>
      <c r="C111" s="8" t="inlineStr">
        <is>
          <t>484287398101280</t>
        </is>
      </c>
      <c r="D111" s="8" t="inlineStr">
        <is>
          <t>2613304192423928</t>
        </is>
      </c>
      <c r="E111" s="7" t="inlineStr">
        <is>
          <t>Learn DevOps Practically</t>
        </is>
      </c>
      <c r="F111" s="9" t="n">
        <v>46293</v>
      </c>
      <c r="G111" s="15">
        <f>'Competitor Summary'!$B$3-F111</f>
        <v/>
      </c>
      <c r="H111" s="7" t="inlineStr">
        <is>
          <t>Transformation (become X)</t>
        </is>
      </c>
      <c r="I111" s="14" t="inlineStr">
        <is>
          <t>Open ad</t>
        </is>
      </c>
    </row>
    <row r="112">
      <c r="A112" s="7" t="inlineStr">
        <is>
          <t>R9ST IT Academy</t>
        </is>
      </c>
      <c r="B112" s="7" t="inlineStr">
        <is>
          <t>Edtech: DevOps / AWS training</t>
        </is>
      </c>
      <c r="C112" s="8" t="inlineStr">
        <is>
          <t>484287398101280</t>
        </is>
      </c>
      <c r="D112" s="8" t="inlineStr">
        <is>
          <t>2656647974783435</t>
        </is>
      </c>
      <c r="E112" s="7" t="inlineStr">
        <is>
          <t>DevOps Training at ₹9,999 + GST</t>
        </is>
      </c>
      <c r="F112" s="9" t="n">
        <v>46293</v>
      </c>
      <c r="G112" s="15">
        <f>'Competitor Summary'!$B$3-F112</f>
        <v/>
      </c>
      <c r="H112" s="7" t="inlineStr">
        <is>
          <t>Price-led</t>
        </is>
      </c>
      <c r="I112" s="14" t="inlineStr">
        <is>
          <t>Open ad</t>
        </is>
      </c>
    </row>
    <row r="113">
      <c r="A113" s="7" t="inlineStr">
        <is>
          <t>R9ST IT Academy</t>
        </is>
      </c>
      <c r="B113" s="7" t="inlineStr">
        <is>
          <t>Edtech: DevOps / AWS training</t>
        </is>
      </c>
      <c r="C113" s="8" t="inlineStr">
        <is>
          <t>484287398101280</t>
        </is>
      </c>
      <c r="D113" s="8" t="inlineStr">
        <is>
          <t>1111354464564857</t>
        </is>
      </c>
      <c r="E113" s="7" t="inlineStr">
        <is>
          <t>Move From Manual to Automation</t>
        </is>
      </c>
      <c r="F113" s="9" t="n">
        <v>46293</v>
      </c>
      <c r="G113" s="15">
        <f>'Competitor Summary'!$B$3-F113</f>
        <v/>
      </c>
      <c r="H113" s="7" t="inlineStr">
        <is>
          <t>Transformation (become X)</t>
        </is>
      </c>
      <c r="I113" s="14" t="inlineStr">
        <is>
          <t>Open ad</t>
        </is>
      </c>
    </row>
    <row r="114">
      <c r="A114" s="7" t="inlineStr">
        <is>
          <t>R9ST IT Academy</t>
        </is>
      </c>
      <c r="B114" s="7" t="inlineStr">
        <is>
          <t>Edtech: DevOps / AWS training</t>
        </is>
      </c>
      <c r="C114" s="8" t="inlineStr">
        <is>
          <t>484287398101280</t>
        </is>
      </c>
      <c r="D114" s="8" t="inlineStr">
        <is>
          <t>2769022723493673</t>
        </is>
      </c>
      <c r="E114" s="7" t="inlineStr">
        <is>
          <t>Live AWS Solutions Architect Training</t>
        </is>
      </c>
      <c r="F114" s="9" t="n">
        <v>46293</v>
      </c>
      <c r="G114" s="15">
        <f>'Competitor Summary'!$B$3-F114</f>
        <v/>
      </c>
      <c r="H114" s="7" t="inlineStr">
        <is>
          <t>Transformation (become X)</t>
        </is>
      </c>
      <c r="I114" s="14" t="inlineStr">
        <is>
          <t>Open ad</t>
        </is>
      </c>
    </row>
    <row r="115">
      <c r="A115" s="7" t="inlineStr">
        <is>
          <t>R9ST IT Academy</t>
        </is>
      </c>
      <c r="B115" s="7" t="inlineStr">
        <is>
          <t>Edtech: DevOps / AWS training</t>
        </is>
      </c>
      <c r="C115" s="8" t="inlineStr">
        <is>
          <t>484287398101280</t>
        </is>
      </c>
      <c r="D115" s="8" t="inlineStr">
        <is>
          <t>27016352104730107</t>
        </is>
      </c>
      <c r="E115" s="7" t="inlineStr">
        <is>
          <t>Grow Your IT Career With DevOps</t>
        </is>
      </c>
      <c r="F115" s="9" t="n">
        <v>46293</v>
      </c>
      <c r="G115" s="15">
        <f>'Competitor Summary'!$B$3-F115</f>
        <v/>
      </c>
      <c r="H115" s="7" t="inlineStr">
        <is>
          <t>Transformation (become X)</t>
        </is>
      </c>
      <c r="I115" s="14" t="inlineStr">
        <is>
          <t>Open ad</t>
        </is>
      </c>
    </row>
    <row r="116">
      <c r="A116" s="7" t="inlineStr">
        <is>
          <t>R9ST IT Academy</t>
        </is>
      </c>
      <c r="B116" s="7" t="inlineStr">
        <is>
          <t>Edtech: DevOps / AWS training</t>
        </is>
      </c>
      <c r="C116" s="8" t="inlineStr">
        <is>
          <t>484287398101280</t>
        </is>
      </c>
      <c r="D116" s="8" t="inlineStr">
        <is>
          <t>2619487968484224</t>
        </is>
      </c>
      <c r="E116" s="7" t="inlineStr">
        <is>
          <t>Learn DevOps From Code to Deployment</t>
        </is>
      </c>
      <c r="F116" s="9" t="n">
        <v>46293</v>
      </c>
      <c r="G116" s="15">
        <f>'Competitor Summary'!$B$3-F116</f>
        <v/>
      </c>
      <c r="H116" s="7" t="inlineStr">
        <is>
          <t>Transformation (become X)</t>
        </is>
      </c>
      <c r="I116" s="14" t="inlineStr">
        <is>
          <t>Open ad</t>
        </is>
      </c>
    </row>
    <row r="117">
      <c r="A117" s="7" t="inlineStr">
        <is>
          <t>Console Flare</t>
        </is>
      </c>
      <c r="B117" s="7" t="inlineStr">
        <is>
          <t>Edtech: working professionals</t>
        </is>
      </c>
      <c r="C117" s="8" t="inlineStr">
        <is>
          <t>331465344179561</t>
        </is>
      </c>
      <c r="D117" s="8" t="inlineStr">
        <is>
          <t>1806629697230299</t>
        </is>
      </c>
      <c r="E117" s="7" t="inlineStr">
        <is>
          <t>For Working Professional Only</t>
        </is>
      </c>
      <c r="F117" s="9" t="n">
        <v>46293</v>
      </c>
      <c r="G117" s="15">
        <f>'Competitor Summary'!$B$3-F117</f>
        <v/>
      </c>
      <c r="H117" s="7" t="inlineStr">
        <is>
          <t>Exclusivity (working professionals only)</t>
        </is>
      </c>
      <c r="I117" s="14" t="inlineStr">
        <is>
          <t>Open ad</t>
        </is>
      </c>
    </row>
    <row r="118">
      <c r="A118" s="7" t="inlineStr">
        <is>
          <t>Console Flare</t>
        </is>
      </c>
      <c r="B118" s="7" t="inlineStr">
        <is>
          <t>Edtech: working professionals</t>
        </is>
      </c>
      <c r="C118" s="8" t="inlineStr">
        <is>
          <t>331465344179561</t>
        </is>
      </c>
      <c r="D118" s="8" t="inlineStr">
        <is>
          <t>1131614362537315</t>
        </is>
      </c>
      <c r="E118" s="7" t="inlineStr">
        <is>
          <t>(no headline)</t>
        </is>
      </c>
      <c r="F118" s="9" t="n">
        <v>46293</v>
      </c>
      <c r="G118" s="15">
        <f>'Competitor Summary'!$B$3-F118</f>
        <v/>
      </c>
      <c r="H118" s="7" t="inlineStr">
        <is>
          <t>No headline (visual-led)</t>
        </is>
      </c>
      <c r="I118" s="14" t="inlineStr">
        <is>
          <t>Open ad</t>
        </is>
      </c>
    </row>
    <row r="119">
      <c r="A119" s="7" t="inlineStr">
        <is>
          <t>Console Flare</t>
        </is>
      </c>
      <c r="B119" s="7" t="inlineStr">
        <is>
          <t>Edtech: working professionals</t>
        </is>
      </c>
      <c r="C119" s="8" t="inlineStr">
        <is>
          <t>331465344179561</t>
        </is>
      </c>
      <c r="D119" s="8" t="inlineStr">
        <is>
          <t>2080812449465794</t>
        </is>
      </c>
      <c r="E119" s="7" t="inlineStr">
        <is>
          <t>(no headline)</t>
        </is>
      </c>
      <c r="F119" s="9" t="n">
        <v>46293</v>
      </c>
      <c r="G119" s="15">
        <f>'Competitor Summary'!$B$3-F119</f>
        <v/>
      </c>
      <c r="H119" s="7" t="inlineStr">
        <is>
          <t>No headline (visual-led)</t>
        </is>
      </c>
      <c r="I119" s="14" t="inlineStr">
        <is>
          <t>Open ad</t>
        </is>
      </c>
    </row>
    <row r="120">
      <c r="A120" s="7" t="inlineStr">
        <is>
          <t>Console Flare</t>
        </is>
      </c>
      <c r="B120" s="7" t="inlineStr">
        <is>
          <t>Edtech: working professionals</t>
        </is>
      </c>
      <c r="C120" s="8" t="inlineStr">
        <is>
          <t>331465344179561</t>
        </is>
      </c>
      <c r="D120" s="8" t="inlineStr">
        <is>
          <t>1390663786509718</t>
        </is>
      </c>
      <c r="E120" s="7" t="inlineStr">
        <is>
          <t>(no headline)</t>
        </is>
      </c>
      <c r="F120" s="9" t="n">
        <v>46293</v>
      </c>
      <c r="G120" s="15">
        <f>'Competitor Summary'!$B$3-F120</f>
        <v/>
      </c>
      <c r="H120" s="7" t="inlineStr">
        <is>
          <t>No headline (visual-led)</t>
        </is>
      </c>
      <c r="I120" s="14" t="inlineStr">
        <is>
          <t>Open ad</t>
        </is>
      </c>
    </row>
    <row r="121">
      <c r="A121" s="7" t="inlineStr">
        <is>
          <t>Console Flare</t>
        </is>
      </c>
      <c r="B121" s="7" t="inlineStr">
        <is>
          <t>Edtech: working professionals</t>
        </is>
      </c>
      <c r="C121" s="8" t="inlineStr">
        <is>
          <t>331465344179561</t>
        </is>
      </c>
      <c r="D121" s="8" t="inlineStr">
        <is>
          <t>957535054075237</t>
        </is>
      </c>
      <c r="E121" s="7" t="inlineStr">
        <is>
          <t>(no headline)</t>
        </is>
      </c>
      <c r="F121" s="9" t="n">
        <v>46293</v>
      </c>
      <c r="G121" s="15">
        <f>'Competitor Summary'!$B$3-F121</f>
        <v/>
      </c>
      <c r="H121" s="7" t="inlineStr">
        <is>
          <t>No headline (visual-led)</t>
        </is>
      </c>
      <c r="I121" s="14" t="inlineStr">
        <is>
          <t>Open ad</t>
        </is>
      </c>
    </row>
    <row r="122">
      <c r="A122" s="7" t="inlineStr">
        <is>
          <t>Console Flare</t>
        </is>
      </c>
      <c r="B122" s="7" t="inlineStr">
        <is>
          <t>Edtech: working professionals</t>
        </is>
      </c>
      <c r="C122" s="8" t="inlineStr">
        <is>
          <t>331465344179561</t>
        </is>
      </c>
      <c r="D122" s="8" t="inlineStr">
        <is>
          <t>1617379916407570</t>
        </is>
      </c>
      <c r="E122" s="7" t="inlineStr">
        <is>
          <t>(no headline)</t>
        </is>
      </c>
      <c r="F122" s="9" t="n">
        <v>46293</v>
      </c>
      <c r="G122" s="15">
        <f>'Competitor Summary'!$B$3-F122</f>
        <v/>
      </c>
      <c r="H122" s="7" t="inlineStr">
        <is>
          <t>No headline (visual-led)</t>
        </is>
      </c>
      <c r="I122" s="14" t="inlineStr">
        <is>
          <t>Open ad</t>
        </is>
      </c>
    </row>
    <row r="123">
      <c r="A123" s="7" t="inlineStr">
        <is>
          <t>Console Flare</t>
        </is>
      </c>
      <c r="B123" s="7" t="inlineStr">
        <is>
          <t>Edtech: working professionals</t>
        </is>
      </c>
      <c r="C123" s="8" t="inlineStr">
        <is>
          <t>331465344179561</t>
        </is>
      </c>
      <c r="D123" s="8" t="inlineStr">
        <is>
          <t>1137172649196100</t>
        </is>
      </c>
      <c r="E123" s="7" t="inlineStr">
        <is>
          <t>For Working Professionals Only</t>
        </is>
      </c>
      <c r="F123" s="9" t="n">
        <v>46293</v>
      </c>
      <c r="G123" s="15">
        <f>'Competitor Summary'!$B$3-F123</f>
        <v/>
      </c>
      <c r="H123" s="7" t="inlineStr">
        <is>
          <t>Exclusivity (working professionals only)</t>
        </is>
      </c>
      <c r="I123" s="14" t="inlineStr">
        <is>
          <t>Open ad</t>
        </is>
      </c>
    </row>
    <row r="124">
      <c r="A124" s="7" t="inlineStr">
        <is>
          <t>Console Flare</t>
        </is>
      </c>
      <c r="B124" s="7" t="inlineStr">
        <is>
          <t>Edtech: working professionals</t>
        </is>
      </c>
      <c r="C124" s="8" t="inlineStr">
        <is>
          <t>331465344179561</t>
        </is>
      </c>
      <c r="D124" s="8" t="inlineStr">
        <is>
          <t>1584154803195990</t>
        </is>
      </c>
      <c r="E124" s="7" t="inlineStr">
        <is>
          <t>For Working Professionals Only</t>
        </is>
      </c>
      <c r="F124" s="9" t="n">
        <v>46293</v>
      </c>
      <c r="G124" s="15">
        <f>'Competitor Summary'!$B$3-F124</f>
        <v/>
      </c>
      <c r="H124" s="7" t="inlineStr">
        <is>
          <t>Exclusivity (working professionals only)</t>
        </is>
      </c>
      <c r="I124" s="14" t="inlineStr">
        <is>
          <t>Open ad</t>
        </is>
      </c>
    </row>
    <row r="125">
      <c r="A125" s="7" t="inlineStr">
        <is>
          <t>Console Flare</t>
        </is>
      </c>
      <c r="B125" s="7" t="inlineStr">
        <is>
          <t>Edtech: working professionals</t>
        </is>
      </c>
      <c r="C125" s="8" t="inlineStr">
        <is>
          <t>331465344179561</t>
        </is>
      </c>
      <c r="D125" s="8" t="inlineStr">
        <is>
          <t>4295080664086628</t>
        </is>
      </c>
      <c r="E125" s="7" t="inlineStr">
        <is>
          <t>For Working Professional Only</t>
        </is>
      </c>
      <c r="F125" s="9" t="n">
        <v>46293</v>
      </c>
      <c r="G125" s="15">
        <f>'Competitor Summary'!$B$3-F125</f>
        <v/>
      </c>
      <c r="H125" s="7" t="inlineStr">
        <is>
          <t>Exclusivity (working professionals only)</t>
        </is>
      </c>
      <c r="I125" s="14" t="inlineStr">
        <is>
          <t>Open ad</t>
        </is>
      </c>
    </row>
    <row r="126">
      <c r="A126" s="7" t="inlineStr">
        <is>
          <t>Console Flare</t>
        </is>
      </c>
      <c r="B126" s="7" t="inlineStr">
        <is>
          <t>Edtech: working professionals</t>
        </is>
      </c>
      <c r="C126" s="8" t="inlineStr">
        <is>
          <t>331465344179561</t>
        </is>
      </c>
      <c r="D126" s="8" t="inlineStr">
        <is>
          <t>972600689217380</t>
        </is>
      </c>
      <c r="E126" s="7" t="inlineStr">
        <is>
          <t>For Working Professionals Only</t>
        </is>
      </c>
      <c r="F126" s="9" t="n">
        <v>46293</v>
      </c>
      <c r="G126" s="15">
        <f>'Competitor Summary'!$B$3-F126</f>
        <v/>
      </c>
      <c r="H126" s="7" t="inlineStr">
        <is>
          <t>Exclusivity (working professionals only)</t>
        </is>
      </c>
      <c r="I126" s="14" t="inlineStr">
        <is>
          <t>Open ad</t>
        </is>
      </c>
    </row>
    <row r="127">
      <c r="A127" s="7" t="inlineStr">
        <is>
          <t>Console Flare</t>
        </is>
      </c>
      <c r="B127" s="7" t="inlineStr">
        <is>
          <t>Edtech: working professionals</t>
        </is>
      </c>
      <c r="C127" s="8" t="inlineStr">
        <is>
          <t>331465344179561</t>
        </is>
      </c>
      <c r="D127" s="8" t="inlineStr">
        <is>
          <t>962587662917345</t>
        </is>
      </c>
      <c r="E127" s="7" t="inlineStr">
        <is>
          <t>For Working Professional Only</t>
        </is>
      </c>
      <c r="F127" s="9" t="n">
        <v>46293</v>
      </c>
      <c r="G127" s="15">
        <f>'Competitor Summary'!$B$3-F127</f>
        <v/>
      </c>
      <c r="H127" s="7" t="inlineStr">
        <is>
          <t>Exclusivity (working professionals only)</t>
        </is>
      </c>
      <c r="I127" s="14" t="inlineStr">
        <is>
          <t>Open ad</t>
        </is>
      </c>
    </row>
    <row r="128">
      <c r="A128" s="7" t="inlineStr">
        <is>
          <t>Console Flare</t>
        </is>
      </c>
      <c r="B128" s="7" t="inlineStr">
        <is>
          <t>Edtech: working professionals</t>
        </is>
      </c>
      <c r="C128" s="8" t="inlineStr">
        <is>
          <t>331465344179561</t>
        </is>
      </c>
      <c r="D128" s="8" t="inlineStr">
        <is>
          <t>1881584219891993</t>
        </is>
      </c>
      <c r="E128" s="7" t="inlineStr">
        <is>
          <t>For Working Professional Only</t>
        </is>
      </c>
      <c r="F128" s="9" t="n">
        <v>46293</v>
      </c>
      <c r="G128" s="15">
        <f>'Competitor Summary'!$B$3-F128</f>
        <v/>
      </c>
      <c r="H128" s="7" t="inlineStr">
        <is>
          <t>Exclusivity (working professionals only)</t>
        </is>
      </c>
      <c r="I128" s="14" t="inlineStr">
        <is>
          <t>Open ad</t>
        </is>
      </c>
    </row>
    <row r="129">
      <c r="A129" s="7" t="inlineStr">
        <is>
          <t>Console Flare</t>
        </is>
      </c>
      <c r="B129" s="7" t="inlineStr">
        <is>
          <t>Edtech: working professionals</t>
        </is>
      </c>
      <c r="C129" s="8" t="inlineStr">
        <is>
          <t>331465344179561</t>
        </is>
      </c>
      <c r="D129" s="8" t="inlineStr">
        <is>
          <t>1106330895091217</t>
        </is>
      </c>
      <c r="E129" s="7" t="inlineStr">
        <is>
          <t>For Working Professionals Only</t>
        </is>
      </c>
      <c r="F129" s="9" t="n">
        <v>46293</v>
      </c>
      <c r="G129" s="15">
        <f>'Competitor Summary'!$B$3-F129</f>
        <v/>
      </c>
      <c r="H129" s="7" t="inlineStr">
        <is>
          <t>Exclusivity (working professionals only)</t>
        </is>
      </c>
      <c r="I129" s="14" t="inlineStr">
        <is>
          <t>Open ad</t>
        </is>
      </c>
    </row>
    <row r="130">
      <c r="A130" s="7" t="inlineStr">
        <is>
          <t>Console Flare</t>
        </is>
      </c>
      <c r="B130" s="7" t="inlineStr">
        <is>
          <t>Edtech: working professionals</t>
        </is>
      </c>
      <c r="C130" s="8" t="inlineStr">
        <is>
          <t>331465344179561</t>
        </is>
      </c>
      <c r="D130" s="8" t="inlineStr">
        <is>
          <t>1114559641131481</t>
        </is>
      </c>
      <c r="E130" s="7" t="inlineStr">
        <is>
          <t>For Working Professional Only</t>
        </is>
      </c>
      <c r="F130" s="9" t="n">
        <v>46293</v>
      </c>
      <c r="G130" s="15">
        <f>'Competitor Summary'!$B$3-F130</f>
        <v/>
      </c>
      <c r="H130" s="7" t="inlineStr">
        <is>
          <t>Exclusivity (working professionals only)</t>
        </is>
      </c>
      <c r="I130" s="14" t="inlineStr">
        <is>
          <t>Open ad</t>
        </is>
      </c>
    </row>
    <row r="131">
      <c r="A131" s="7" t="inlineStr">
        <is>
          <t>GUVI</t>
        </is>
      </c>
      <c r="B131" s="7" t="inlineStr">
        <is>
          <t>Edtech: career courses</t>
        </is>
      </c>
      <c r="C131" s="8" t="inlineStr">
        <is>
          <t>386984684662653</t>
        </is>
      </c>
      <c r="D131" s="8" t="inlineStr">
        <is>
          <t>1112685041221625</t>
        </is>
      </c>
      <c r="E131" s="7" t="inlineStr">
        <is>
          <t>Become an AI Engineer in 6 Months — Only 20 Seats Left</t>
        </is>
      </c>
      <c r="F131" s="9" t="n">
        <v>46293</v>
      </c>
      <c r="G131" s="15">
        <f>'Competitor Summary'!$B$3-F131</f>
        <v/>
      </c>
      <c r="H131" s="7" t="inlineStr">
        <is>
          <t>Scarcity</t>
        </is>
      </c>
      <c r="I131" s="14" t="inlineStr">
        <is>
          <t>Open ad</t>
        </is>
      </c>
    </row>
    <row r="132">
      <c r="A132" s="7" t="inlineStr">
        <is>
          <t>GUVI</t>
        </is>
      </c>
      <c r="B132" s="7" t="inlineStr">
        <is>
          <t>Edtech: career courses</t>
        </is>
      </c>
      <c r="C132" s="8" t="inlineStr">
        <is>
          <t>386984684662653</t>
        </is>
      </c>
      <c r="D132" s="8" t="inlineStr">
        <is>
          <t>1066539399610672</t>
        </is>
      </c>
      <c r="E132" s="7" t="inlineStr">
        <is>
          <t>FREE Product Management Masterclass</t>
        </is>
      </c>
      <c r="F132" s="9" t="n">
        <v>46293</v>
      </c>
      <c r="G132" s="15">
        <f>'Competitor Summary'!$B$3-F132</f>
        <v/>
      </c>
      <c r="H132" s="7" t="inlineStr">
        <is>
          <t>Free / low-friction</t>
        </is>
      </c>
      <c r="I132" s="14" t="inlineStr">
        <is>
          <t>Open ad</t>
        </is>
      </c>
    </row>
    <row r="133">
      <c r="A133" s="7" t="inlineStr">
        <is>
          <t>GUVI</t>
        </is>
      </c>
      <c r="B133" s="7" t="inlineStr">
        <is>
          <t>Edtech: career courses</t>
        </is>
      </c>
      <c r="C133" s="8" t="inlineStr">
        <is>
          <t>386984684662653</t>
        </is>
      </c>
      <c r="D133" s="8" t="inlineStr">
        <is>
          <t>2885411395151301</t>
        </is>
      </c>
      <c r="E133" s="7" t="inlineStr">
        <is>
          <t>IIM Indore Product Management Programme</t>
        </is>
      </c>
      <c r="F133" s="9" t="n">
        <v>46293</v>
      </c>
      <c r="G133" s="15">
        <f>'Competitor Summary'!$B$3-F133</f>
        <v/>
      </c>
      <c r="H133" s="7" t="inlineStr">
        <is>
          <t>Transformation (become X)</t>
        </is>
      </c>
      <c r="I133" s="14" t="inlineStr">
        <is>
          <t>Open ad</t>
        </is>
      </c>
    </row>
    <row r="134">
      <c r="A134" s="7" t="inlineStr">
        <is>
          <t>GUVI</t>
        </is>
      </c>
      <c r="B134" s="7" t="inlineStr">
        <is>
          <t>Edtech: career courses</t>
        </is>
      </c>
      <c r="C134" s="8" t="inlineStr">
        <is>
          <t>386984684662653</t>
        </is>
      </c>
      <c r="D134" s="8" t="inlineStr">
        <is>
          <t>2148379979361563</t>
        </is>
      </c>
      <c r="E134" s="7" t="inlineStr">
        <is>
          <t>Become an AI Engineer in 6 Months — Only 20 Seats Left</t>
        </is>
      </c>
      <c r="F134" s="9" t="n">
        <v>46293</v>
      </c>
      <c r="G134" s="15">
        <f>'Competitor Summary'!$B$3-F134</f>
        <v/>
      </c>
      <c r="H134" s="7" t="inlineStr">
        <is>
          <t>Scarcity</t>
        </is>
      </c>
      <c r="I134" s="14" t="inlineStr">
        <is>
          <t>Open ad</t>
        </is>
      </c>
    </row>
    <row r="135">
      <c r="A135" s="7" t="inlineStr">
        <is>
          <t>GUVI</t>
        </is>
      </c>
      <c r="B135" s="7" t="inlineStr">
        <is>
          <t>Edtech: career courses</t>
        </is>
      </c>
      <c r="C135" s="8" t="inlineStr">
        <is>
          <t>386984684662653</t>
        </is>
      </c>
      <c r="D135" s="8" t="inlineStr">
        <is>
          <t>2371297836608083</t>
        </is>
      </c>
      <c r="E135" s="7" t="inlineStr">
        <is>
          <t>Become an AI Engineer in 6 Months — Only 20 Seats Left</t>
        </is>
      </c>
      <c r="F135" s="9" t="n">
        <v>46293</v>
      </c>
      <c r="G135" s="15">
        <f>'Competitor Summary'!$B$3-F135</f>
        <v/>
      </c>
      <c r="H135" s="7" t="inlineStr">
        <is>
          <t>Scarcity</t>
        </is>
      </c>
      <c r="I135" s="14" t="inlineStr">
        <is>
          <t>Open ad</t>
        </is>
      </c>
    </row>
    <row r="136">
      <c r="A136" s="7" t="inlineStr">
        <is>
          <t>GUVI</t>
        </is>
      </c>
      <c r="B136" s="7" t="inlineStr">
        <is>
          <t>Edtech: career courses</t>
        </is>
      </c>
      <c r="C136" s="8" t="inlineStr">
        <is>
          <t>386984684662653</t>
        </is>
      </c>
      <c r="D136" s="8" t="inlineStr">
        <is>
          <t>1084566414499531</t>
        </is>
      </c>
      <c r="E136" s="7" t="inlineStr">
        <is>
          <t>Master In Demand Skills</t>
        </is>
      </c>
      <c r="F136" s="9" t="n">
        <v>46293</v>
      </c>
      <c r="G136" s="15">
        <f>'Competitor Summary'!$B$3-F136</f>
        <v/>
      </c>
      <c r="H136" s="7" t="inlineStr">
        <is>
          <t>Transformation (become X)</t>
        </is>
      </c>
      <c r="I136" s="14" t="inlineStr">
        <is>
          <t>Open ad</t>
        </is>
      </c>
    </row>
    <row r="137">
      <c r="A137" s="7" t="inlineStr">
        <is>
          <t>GUVI</t>
        </is>
      </c>
      <c r="B137" s="7" t="inlineStr">
        <is>
          <t>Edtech: career courses</t>
        </is>
      </c>
      <c r="C137" s="8" t="inlineStr">
        <is>
          <t>386984684662653</t>
        </is>
      </c>
      <c r="D137" s="8" t="inlineStr">
        <is>
          <t>1893005878341110</t>
        </is>
      </c>
      <c r="E137" s="7" t="inlineStr">
        <is>
          <t>Master In Demand Skills</t>
        </is>
      </c>
      <c r="F137" s="9" t="n">
        <v>46293</v>
      </c>
      <c r="G137" s="15">
        <f>'Competitor Summary'!$B$3-F137</f>
        <v/>
      </c>
      <c r="H137" s="7" t="inlineStr">
        <is>
          <t>Transformation (become X)</t>
        </is>
      </c>
      <c r="I137" s="14" t="inlineStr">
        <is>
          <t>Open ad</t>
        </is>
      </c>
    </row>
    <row r="138">
      <c r="A138" s="7" t="inlineStr">
        <is>
          <t>GUVI</t>
        </is>
      </c>
      <c r="B138" s="7" t="inlineStr">
        <is>
          <t>Edtech: career courses</t>
        </is>
      </c>
      <c r="C138" s="8" t="inlineStr">
        <is>
          <t>386984684662653</t>
        </is>
      </c>
      <c r="D138" s="8" t="inlineStr">
        <is>
          <t>1527050672785020</t>
        </is>
      </c>
      <c r="E138" s="7" t="inlineStr">
        <is>
          <t>Master In Demand Skills</t>
        </is>
      </c>
      <c r="F138" s="9" t="n">
        <v>46293</v>
      </c>
      <c r="G138" s="15">
        <f>'Competitor Summary'!$B$3-F138</f>
        <v/>
      </c>
      <c r="H138" s="7" t="inlineStr">
        <is>
          <t>Transformation (become X)</t>
        </is>
      </c>
      <c r="I138" s="14" t="inlineStr">
        <is>
          <t>Open ad</t>
        </is>
      </c>
    </row>
    <row r="139">
      <c r="A139" s="7" t="inlineStr">
        <is>
          <t>GUVI</t>
        </is>
      </c>
      <c r="B139" s="7" t="inlineStr">
        <is>
          <t>Edtech: career courses</t>
        </is>
      </c>
      <c r="C139" s="8" t="inlineStr">
        <is>
          <t>386984684662653</t>
        </is>
      </c>
      <c r="D139" s="8" t="inlineStr">
        <is>
          <t>2140559953546307</t>
        </is>
      </c>
      <c r="E139" s="7" t="inlineStr">
        <is>
          <t>Master In Demand Skills</t>
        </is>
      </c>
      <c r="F139" s="9" t="n">
        <v>46293</v>
      </c>
      <c r="G139" s="15">
        <f>'Competitor Summary'!$B$3-F139</f>
        <v/>
      </c>
      <c r="H139" s="7" t="inlineStr">
        <is>
          <t>Transformation (become X)</t>
        </is>
      </c>
      <c r="I139" s="14" t="inlineStr">
        <is>
          <t>Open ad</t>
        </is>
      </c>
    </row>
    <row r="140">
      <c r="A140" s="7" t="inlineStr">
        <is>
          <t>GUVI</t>
        </is>
      </c>
      <c r="B140" s="7" t="inlineStr">
        <is>
          <t>Edtech: career courses</t>
        </is>
      </c>
      <c r="C140" s="8" t="inlineStr">
        <is>
          <t>386984684662653</t>
        </is>
      </c>
      <c r="D140" s="8" t="inlineStr">
        <is>
          <t>2020396838631163</t>
        </is>
      </c>
      <c r="E140" s="7" t="inlineStr">
        <is>
          <t>Master In Demand Skills</t>
        </is>
      </c>
      <c r="F140" s="9" t="n">
        <v>46293</v>
      </c>
      <c r="G140" s="15">
        <f>'Competitor Summary'!$B$3-F140</f>
        <v/>
      </c>
      <c r="H140" s="7" t="inlineStr">
        <is>
          <t>Transformation (become X)</t>
        </is>
      </c>
      <c r="I140" s="14" t="inlineStr">
        <is>
          <t>Open ad</t>
        </is>
      </c>
    </row>
    <row r="141">
      <c r="A141" s="7" t="inlineStr">
        <is>
          <t>GUVI</t>
        </is>
      </c>
      <c r="B141" s="7" t="inlineStr">
        <is>
          <t>Edtech: career courses</t>
        </is>
      </c>
      <c r="C141" s="8" t="inlineStr">
        <is>
          <t>386984684662653</t>
        </is>
      </c>
      <c r="D141" s="8" t="inlineStr">
        <is>
          <t>3913566248780960</t>
        </is>
      </c>
      <c r="E141" s="7" t="inlineStr">
        <is>
          <t>Break into High-Paying AI &amp; ML Roles — No Coding Background Needed!</t>
        </is>
      </c>
      <c r="F141" s="9" t="n">
        <v>46293</v>
      </c>
      <c r="G141" s="15">
        <f>'Competitor Summary'!$B$3-F141</f>
        <v/>
      </c>
      <c r="H141" s="7" t="inlineStr">
        <is>
          <t>Transformation (become X)</t>
        </is>
      </c>
      <c r="I141" s="14" t="inlineStr">
        <is>
          <t>Open ad</t>
        </is>
      </c>
    </row>
    <row r="142">
      <c r="A142" s="7" t="inlineStr">
        <is>
          <t>GUVI</t>
        </is>
      </c>
      <c r="B142" s="7" t="inlineStr">
        <is>
          <t>Edtech: career courses</t>
        </is>
      </c>
      <c r="C142" s="8" t="inlineStr">
        <is>
          <t>386984684662653</t>
        </is>
      </c>
      <c r="D142" s="8" t="inlineStr">
        <is>
          <t>2379184199156432</t>
        </is>
      </c>
      <c r="E142" s="7" t="inlineStr">
        <is>
          <t>Become a DevOps Engineer in 4 Months</t>
        </is>
      </c>
      <c r="F142" s="9" t="n">
        <v>46292</v>
      </c>
      <c r="G142" s="15">
        <f>'Competitor Summary'!$B$3-F142</f>
        <v/>
      </c>
      <c r="H142" s="7" t="inlineStr">
        <is>
          <t>Transformation (become X)</t>
        </is>
      </c>
      <c r="I142" s="14" t="inlineStr">
        <is>
          <t>Open ad</t>
        </is>
      </c>
    </row>
    <row r="143">
      <c r="A143" s="7" t="inlineStr">
        <is>
          <t>GUVI</t>
        </is>
      </c>
      <c r="B143" s="7" t="inlineStr">
        <is>
          <t>Edtech: career courses</t>
        </is>
      </c>
      <c r="C143" s="8" t="inlineStr">
        <is>
          <t>386984684662653</t>
        </is>
      </c>
      <c r="D143" s="8" t="inlineStr">
        <is>
          <t>2220022455614586</t>
        </is>
      </c>
      <c r="E143" s="7" t="inlineStr">
        <is>
          <t>CAD Course for Mechanical Engineers</t>
        </is>
      </c>
      <c r="F143" s="9" t="n">
        <v>46292</v>
      </c>
      <c r="G143" s="15">
        <f>'Competitor Summary'!$B$3-F143</f>
        <v/>
      </c>
      <c r="H143" s="7" t="inlineStr">
        <is>
          <t>Transformation (become X)</t>
        </is>
      </c>
      <c r="I143" s="14" t="inlineStr">
        <is>
          <t>Open ad</t>
        </is>
      </c>
    </row>
    <row r="144">
      <c r="A144" s="7" t="inlineStr">
        <is>
          <t>GUVI</t>
        </is>
      </c>
      <c r="B144" s="7" t="inlineStr">
        <is>
          <t>Edtech: career courses</t>
        </is>
      </c>
      <c r="C144" s="8" t="inlineStr">
        <is>
          <t>386984684662653</t>
        </is>
      </c>
      <c r="D144" s="8" t="inlineStr">
        <is>
          <t>1419210893635498</t>
        </is>
      </c>
      <c r="E144" s="7" t="inlineStr">
        <is>
          <t>Become an AI/ML Engineer in 6 Months — Tamil &amp; English</t>
        </is>
      </c>
      <c r="F144" s="9" t="n">
        <v>46292</v>
      </c>
      <c r="G144" s="15">
        <f>'Competitor Summary'!$B$3-F144</f>
        <v/>
      </c>
      <c r="H144" s="7" t="inlineStr">
        <is>
          <t>Transformation (become X)</t>
        </is>
      </c>
      <c r="I144" s="14" t="inlineStr">
        <is>
          <t>Open ad</t>
        </is>
      </c>
    </row>
    <row r="145">
      <c r="A145" s="7" t="inlineStr">
        <is>
          <t>GUVI</t>
        </is>
      </c>
      <c r="B145" s="7" t="inlineStr">
        <is>
          <t>Edtech: career courses</t>
        </is>
      </c>
      <c r="C145" s="8" t="inlineStr">
        <is>
          <t>386984684662653</t>
        </is>
      </c>
      <c r="D145" s="8" t="inlineStr">
        <is>
          <t>1059681169841736</t>
        </is>
      </c>
      <c r="E145" s="7" t="inlineStr">
        <is>
          <t>Only For Working Professionals</t>
        </is>
      </c>
      <c r="F145" s="9" t="n">
        <v>46239</v>
      </c>
      <c r="G145" s="15">
        <f>'Competitor Summary'!$B$3-F145</f>
        <v/>
      </c>
      <c r="H145" s="7" t="inlineStr">
        <is>
          <t>Exclusivity (working professionals only)</t>
        </is>
      </c>
      <c r="I145" s="14" t="inlineStr">
        <is>
          <t>Open ad</t>
        </is>
      </c>
    </row>
    <row r="146">
      <c r="A146" s="7" t="inlineStr">
        <is>
          <t>Nexverse Learning</t>
        </is>
      </c>
      <c r="B146" s="7" t="inlineStr">
        <is>
          <t>Edtech: DevOps</t>
        </is>
      </c>
      <c r="C146" s="8" t="inlineStr">
        <is>
          <t>591969314010473</t>
        </is>
      </c>
      <c r="D146" s="8" t="inlineStr">
        <is>
          <t>1297336243471931</t>
        </is>
      </c>
      <c r="E146" s="7" t="inlineStr">
        <is>
          <t>Master DevOps Engineering | Live Webinar on Oct 3</t>
        </is>
      </c>
      <c r="F146" s="9" t="n">
        <v>46292</v>
      </c>
      <c r="G146" s="15">
        <f>'Competitor Summary'!$B$3-F146</f>
        <v/>
      </c>
      <c r="H146" s="7" t="inlineStr">
        <is>
          <t>Transformation (become X)</t>
        </is>
      </c>
      <c r="I146" s="14" t="inlineStr">
        <is>
          <t>Open ad</t>
        </is>
      </c>
    </row>
    <row r="147">
      <c r="A147" s="7" t="inlineStr">
        <is>
          <t>Nexverse Learning</t>
        </is>
      </c>
      <c r="B147" s="7" t="inlineStr">
        <is>
          <t>Edtech: DevOps</t>
        </is>
      </c>
      <c r="C147" s="8" t="inlineStr">
        <is>
          <t>591969314010473</t>
        </is>
      </c>
      <c r="D147" s="8" t="inlineStr">
        <is>
          <t>1493454822791932</t>
        </is>
      </c>
      <c r="E147" s="7" t="inlineStr">
        <is>
          <t>Don't Just Learn DevOps. Become Production-Ready.</t>
        </is>
      </c>
      <c r="F147" s="9" t="n">
        <v>46292</v>
      </c>
      <c r="G147" s="15">
        <f>'Competitor Summary'!$B$3-F147</f>
        <v/>
      </c>
      <c r="H147" s="7" t="inlineStr">
        <is>
          <t>Transformation (become X)</t>
        </is>
      </c>
      <c r="I147" s="14" t="inlineStr">
        <is>
          <t>Open ad</t>
        </is>
      </c>
    </row>
    <row r="148">
      <c r="A148" s="7" t="inlineStr">
        <is>
          <t>Nexverse Learning</t>
        </is>
      </c>
      <c r="B148" s="7" t="inlineStr">
        <is>
          <t>Edtech: DevOps</t>
        </is>
      </c>
      <c r="C148" s="8" t="inlineStr">
        <is>
          <t>591969314010473</t>
        </is>
      </c>
      <c r="D148" s="8" t="inlineStr">
        <is>
          <t>1050574251127040</t>
        </is>
      </c>
      <c r="E148" s="7" t="inlineStr">
        <is>
          <t>Join Now</t>
        </is>
      </c>
      <c r="F148" s="9" t="n">
        <v>46288</v>
      </c>
      <c r="G148" s="15">
        <f>'Competitor Summary'!$B$3-F148</f>
        <v/>
      </c>
      <c r="H148" s="7" t="inlineStr">
        <is>
          <t>No headline (visual-led)</t>
        </is>
      </c>
      <c r="I148" s="14" t="inlineStr">
        <is>
          <t>Open ad</t>
        </is>
      </c>
    </row>
    <row r="149">
      <c r="A149" s="7" t="inlineStr">
        <is>
          <t>Nexverse Learning</t>
        </is>
      </c>
      <c r="B149" s="7" t="inlineStr">
        <is>
          <t>Edtech: DevOps</t>
        </is>
      </c>
      <c r="C149" s="8" t="inlineStr">
        <is>
          <t>591969314010473</t>
        </is>
      </c>
      <c r="D149" s="8" t="inlineStr">
        <is>
          <t>2843663299337646</t>
        </is>
      </c>
      <c r="E149" s="7" t="inlineStr">
        <is>
          <t>(no headline)</t>
        </is>
      </c>
      <c r="F149" s="9" t="n">
        <v>46288</v>
      </c>
      <c r="G149" s="15">
        <f>'Competitor Summary'!$B$3-F149</f>
        <v/>
      </c>
      <c r="H149" s="7" t="inlineStr">
        <is>
          <t>No headline (visual-led)</t>
        </is>
      </c>
      <c r="I149" s="14" t="inlineStr">
        <is>
          <t>Open ad</t>
        </is>
      </c>
    </row>
    <row r="150">
      <c r="A150" s="7" t="inlineStr">
        <is>
          <t>Iconic Options</t>
        </is>
      </c>
      <c r="B150" s="7" t="inlineStr">
        <is>
          <t>Real-estate listings (1 IT hiring ad)</t>
        </is>
      </c>
      <c r="C150" s="8" t="inlineStr">
        <is>
          <t>1022000921003672</t>
        </is>
      </c>
      <c r="D150" s="8" t="inlineStr">
        <is>
          <t>1142990505055359</t>
        </is>
      </c>
      <c r="E150" s="7" t="inlineStr">
        <is>
          <t>Hiring IT Professionals | 6–8 Years</t>
        </is>
      </c>
      <c r="F150" s="9" t="n">
        <v>46292</v>
      </c>
      <c r="G150" s="15">
        <f>'Competitor Summary'!$B$3-F150</f>
        <v/>
      </c>
      <c r="H150" s="7" t="inlineStr">
        <is>
          <t>Experience call-out</t>
        </is>
      </c>
      <c r="I150" s="14" t="inlineStr">
        <is>
          <t>Open ad</t>
        </is>
      </c>
    </row>
    <row r="151">
      <c r="A151" s="7" t="inlineStr">
        <is>
          <t>Iconic Options</t>
        </is>
      </c>
      <c r="B151" s="7" t="inlineStr">
        <is>
          <t>Real-estate listings (1 IT hiring ad)</t>
        </is>
      </c>
      <c r="C151" s="8" t="inlineStr">
        <is>
          <t>1022000921003672</t>
        </is>
      </c>
      <c r="D151" s="8" t="inlineStr">
        <is>
          <t>1733374157878293</t>
        </is>
      </c>
      <c r="E151" s="7" t="inlineStr">
        <is>
          <t>Tell Us Your Budget. Find Your Property.</t>
        </is>
      </c>
      <c r="F151" s="9" t="n">
        <v>46292</v>
      </c>
      <c r="G151" s="15">
        <f>'Competitor Summary'!$B$3-F151</f>
        <v/>
      </c>
      <c r="H151" s="7" t="inlineStr">
        <is>
          <t>Off-topic (real estate)</t>
        </is>
      </c>
      <c r="I151" s="14" t="inlineStr">
        <is>
          <t>Open ad</t>
        </is>
      </c>
    </row>
    <row r="152">
      <c r="A152" s="7" t="inlineStr">
        <is>
          <t>Iconic Options</t>
        </is>
      </c>
      <c r="B152" s="7" t="inlineStr">
        <is>
          <t>Real-estate listings (1 IT hiring ad)</t>
        </is>
      </c>
      <c r="C152" s="8" t="inlineStr">
        <is>
          <t>1022000921003672</t>
        </is>
      </c>
      <c r="D152" s="8" t="inlineStr">
        <is>
          <t>1101483218903788</t>
        </is>
      </c>
      <c r="E152" s="7" t="inlineStr">
        <is>
          <t>Premium Properties in Pune – Koregaon Park &amp; Kharadi</t>
        </is>
      </c>
      <c r="F152" s="9" t="n">
        <v>46292</v>
      </c>
      <c r="G152" s="15">
        <f>'Competitor Summary'!$B$3-F152</f>
        <v/>
      </c>
      <c r="H152" s="7" t="inlineStr">
        <is>
          <t>Off-topic (real estate)</t>
        </is>
      </c>
      <c r="I152" s="14" t="inlineStr">
        <is>
          <t>Open ad</t>
        </is>
      </c>
    </row>
    <row r="153">
      <c r="A153" s="7" t="inlineStr">
        <is>
          <t>Iconic Options</t>
        </is>
      </c>
      <c r="B153" s="7" t="inlineStr">
        <is>
          <t>Real-estate listings (1 IT hiring ad)</t>
        </is>
      </c>
      <c r="C153" s="8" t="inlineStr">
        <is>
          <t>1022000921003672</t>
        </is>
      </c>
      <c r="D153" s="8" t="inlineStr">
        <is>
          <t>2101415090489220</t>
        </is>
      </c>
      <c r="E153" s="7" t="inlineStr">
        <is>
          <t>Mumbai Properties Within Your Budget!</t>
        </is>
      </c>
      <c r="F153" s="9" t="n">
        <v>46292</v>
      </c>
      <c r="G153" s="15">
        <f>'Competitor Summary'!$B$3-F153</f>
        <v/>
      </c>
      <c r="H153" s="7" t="inlineStr">
        <is>
          <t>Off-topic (real estate)</t>
        </is>
      </c>
      <c r="I153" s="14" t="inlineStr">
        <is>
          <t>Open ad</t>
        </is>
      </c>
    </row>
    <row r="154">
      <c r="A154" s="7" t="inlineStr">
        <is>
          <t>Iconic Options</t>
        </is>
      </c>
      <c r="B154" s="7" t="inlineStr">
        <is>
          <t>Real-estate listings (1 IT hiring ad)</t>
        </is>
      </c>
      <c r="C154" s="8" t="inlineStr">
        <is>
          <t>1022000921003672</t>
        </is>
      </c>
      <c r="D154" s="8" t="inlineStr">
        <is>
          <t>1103637452158459</t>
        </is>
      </c>
      <c r="E154" s="7" t="inlineStr">
        <is>
          <t>List Your Commercial Property &amp; Get More Enquiries</t>
        </is>
      </c>
      <c r="F154" s="9" t="n">
        <v>46291</v>
      </c>
      <c r="G154" s="15">
        <f>'Competitor Summary'!$B$3-F154</f>
        <v/>
      </c>
      <c r="H154" s="7" t="inlineStr">
        <is>
          <t>Off-topic (real estate)</t>
        </is>
      </c>
      <c r="I154" s="14" t="inlineStr">
        <is>
          <t>Open ad</t>
        </is>
      </c>
    </row>
    <row r="155">
      <c r="A155" s="7" t="inlineStr">
        <is>
          <t>Iconic Options</t>
        </is>
      </c>
      <c r="B155" s="7" t="inlineStr">
        <is>
          <t>Real-estate listings (1 IT hiring ad)</t>
        </is>
      </c>
      <c r="C155" s="8" t="inlineStr">
        <is>
          <t>1022000921003672</t>
        </is>
      </c>
      <c r="D155" s="8" t="inlineStr">
        <is>
          <t>2344775116292575</t>
        </is>
      </c>
      <c r="E155" s="7" t="inlineStr">
        <is>
          <t>Book Your Sky Home Today</t>
        </is>
      </c>
      <c r="F155" s="9" t="n">
        <v>46291</v>
      </c>
      <c r="G155" s="15">
        <f>'Competitor Summary'!$B$3-F155</f>
        <v/>
      </c>
      <c r="H155" s="7" t="inlineStr">
        <is>
          <t>Off-topic (real estate)</t>
        </is>
      </c>
      <c r="I155" s="14" t="inlineStr">
        <is>
          <t>Open ad</t>
        </is>
      </c>
    </row>
    <row r="156">
      <c r="A156" s="7" t="inlineStr">
        <is>
          <t>Iconic Options</t>
        </is>
      </c>
      <c r="B156" s="7" t="inlineStr">
        <is>
          <t>Real-estate listings (1 IT hiring ad)</t>
        </is>
      </c>
      <c r="C156" s="8" t="inlineStr">
        <is>
          <t>1022000921003672</t>
        </is>
      </c>
      <c r="D156" s="8" t="inlineStr">
        <is>
          <t>1752067006046419</t>
        </is>
      </c>
      <c r="E156" s="7" t="inlineStr">
        <is>
          <t>LIST YOUR PROPERTY FOR FREE!</t>
        </is>
      </c>
      <c r="F156" s="9" t="n">
        <v>46290</v>
      </c>
      <c r="G156" s="15">
        <f>'Competitor Summary'!$B$3-F156</f>
        <v/>
      </c>
      <c r="H156" s="7" t="inlineStr">
        <is>
          <t>Off-topic (real estate)</t>
        </is>
      </c>
      <c r="I156" s="14" t="inlineStr">
        <is>
          <t>Open ad</t>
        </is>
      </c>
    </row>
    <row r="157">
      <c r="A157" s="7" t="inlineStr">
        <is>
          <t>Iconic Options</t>
        </is>
      </c>
      <c r="B157" s="7" t="inlineStr">
        <is>
          <t>Real-estate listings (1 IT hiring ad)</t>
        </is>
      </c>
      <c r="C157" s="8" t="inlineStr">
        <is>
          <t>1022000921003672</t>
        </is>
      </c>
      <c r="D157" s="8" t="inlineStr">
        <is>
          <t>1476066291008870</t>
        </is>
      </c>
      <c r="E157" s="7" t="inlineStr">
        <is>
          <t>Buy Smart, Buy Resale — Pune Property from ₹17 Lac Onwards</t>
        </is>
      </c>
      <c r="F157" s="9" t="n">
        <v>46289</v>
      </c>
      <c r="G157" s="15">
        <f>'Competitor Summary'!$B$3-F157</f>
        <v/>
      </c>
      <c r="H157" s="7" t="inlineStr">
        <is>
          <t>Off-topic (real estate)</t>
        </is>
      </c>
      <c r="I157" s="14" t="inlineStr">
        <is>
          <t>Open ad</t>
        </is>
      </c>
    </row>
    <row r="158">
      <c r="A158" s="7" t="inlineStr">
        <is>
          <t>Iconic Options</t>
        </is>
      </c>
      <c r="B158" s="7" t="inlineStr">
        <is>
          <t>Real-estate listings (1 IT hiring ad)</t>
        </is>
      </c>
      <c r="C158" s="8" t="inlineStr">
        <is>
          <t>1022000921003672</t>
        </is>
      </c>
      <c r="D158" s="8" t="inlineStr">
        <is>
          <t>1410923017040170</t>
        </is>
      </c>
      <c r="E158" s="7" t="inlineStr">
        <is>
          <t>Mumbai Properties — Sell or Rent at Zero Brokerage!</t>
        </is>
      </c>
      <c r="F158" s="9" t="n">
        <v>46289</v>
      </c>
      <c r="G158" s="15">
        <f>'Competitor Summary'!$B$3-F158</f>
        <v/>
      </c>
      <c r="H158" s="7" t="inlineStr">
        <is>
          <t>Off-topic (real estate)</t>
        </is>
      </c>
      <c r="I158" s="14" t="inlineStr">
        <is>
          <t>Open ad</t>
        </is>
      </c>
    </row>
    <row r="159">
      <c r="A159" s="7" t="inlineStr">
        <is>
          <t>Iconic Options</t>
        </is>
      </c>
      <c r="B159" s="7" t="inlineStr">
        <is>
          <t>Real-estate listings (1 IT hiring ad)</t>
        </is>
      </c>
      <c r="C159" s="8" t="inlineStr">
        <is>
          <t>1022000921003672</t>
        </is>
      </c>
      <c r="D159" s="8" t="inlineStr">
        <is>
          <t>2033884180588405</t>
        </is>
      </c>
      <c r="E159" s="7" t="inlineStr">
        <is>
          <t>List Your Property FREE &amp; Find Verified Buyers</t>
        </is>
      </c>
      <c r="F159" s="9" t="n">
        <v>46289</v>
      </c>
      <c r="G159" s="15">
        <f>'Competitor Summary'!$B$3-F159</f>
        <v/>
      </c>
      <c r="H159" s="7" t="inlineStr">
        <is>
          <t>Off-topic (real estate)</t>
        </is>
      </c>
      <c r="I159" s="14" t="inlineStr">
        <is>
          <t>Open ad</t>
        </is>
      </c>
    </row>
    <row r="160">
      <c r="A160" s="7" t="inlineStr">
        <is>
          <t>Iconic Options</t>
        </is>
      </c>
      <c r="B160" s="7" t="inlineStr">
        <is>
          <t>Real-estate listings (1 IT hiring ad)</t>
        </is>
      </c>
      <c r="C160" s="8" t="inlineStr">
        <is>
          <t>1022000921003672</t>
        </is>
      </c>
      <c r="D160" s="8" t="inlineStr">
        <is>
          <t>1067097339560873</t>
        </is>
      </c>
      <c r="E160" s="7" t="inlineStr">
        <is>
          <t>List Your Property FREE</t>
        </is>
      </c>
      <c r="F160" s="9" t="n">
        <v>46289</v>
      </c>
      <c r="G160" s="15">
        <f>'Competitor Summary'!$B$3-F160</f>
        <v/>
      </c>
      <c r="H160" s="7" t="inlineStr">
        <is>
          <t>Off-topic (real estate)</t>
        </is>
      </c>
      <c r="I160" s="14" t="inlineStr">
        <is>
          <t>Open ad</t>
        </is>
      </c>
    </row>
    <row r="161">
      <c r="A161" s="7" t="inlineStr">
        <is>
          <t>Iconic Options</t>
        </is>
      </c>
      <c r="B161" s="7" t="inlineStr">
        <is>
          <t>Real-estate listings (1 IT hiring ad)</t>
        </is>
      </c>
      <c r="C161" s="8" t="inlineStr">
        <is>
          <t>1022000921003672</t>
        </is>
      </c>
      <c r="D161" s="8" t="inlineStr">
        <is>
          <t>1607467634254583</t>
        </is>
      </c>
      <c r="E161" s="7" t="inlineStr">
        <is>
          <t>Find Your Perfect Rental Home – Zero Broker Fees!</t>
        </is>
      </c>
      <c r="F161" s="9" t="n">
        <v>46289</v>
      </c>
      <c r="G161" s="15">
        <f>'Competitor Summary'!$B$3-F161</f>
        <v/>
      </c>
      <c r="H161" s="7" t="inlineStr">
        <is>
          <t>Off-topic (real estate)</t>
        </is>
      </c>
      <c r="I161" s="14" t="inlineStr">
        <is>
          <t>Open ad</t>
        </is>
      </c>
    </row>
    <row r="162">
      <c r="A162" s="7" t="inlineStr">
        <is>
          <t>Iconic Options</t>
        </is>
      </c>
      <c r="B162" s="7" t="inlineStr">
        <is>
          <t>Real-estate listings (1 IT hiring ad)</t>
        </is>
      </c>
      <c r="C162" s="8" t="inlineStr">
        <is>
          <t>1022000921003672</t>
        </is>
      </c>
      <c r="D162" s="8" t="inlineStr">
        <is>
          <t>1379750844141809</t>
        </is>
      </c>
      <c r="E162" s="7" t="inlineStr">
        <is>
          <t>List Your Property Free</t>
        </is>
      </c>
      <c r="F162" s="9" t="n">
        <v>46282</v>
      </c>
      <c r="G162" s="15">
        <f>'Competitor Summary'!$B$3-F162</f>
        <v/>
      </c>
      <c r="H162" s="7" t="inlineStr">
        <is>
          <t>Off-topic (real estate)</t>
        </is>
      </c>
      <c r="I162" s="14" t="inlineStr">
        <is>
          <t>Open ad</t>
        </is>
      </c>
    </row>
    <row r="163">
      <c r="A163" s="7" t="inlineStr">
        <is>
          <t>Iconic Options</t>
        </is>
      </c>
      <c r="B163" s="7" t="inlineStr">
        <is>
          <t>Real-estate listings (1 IT hiring ad)</t>
        </is>
      </c>
      <c r="C163" s="8" t="inlineStr">
        <is>
          <t>1022000921003672</t>
        </is>
      </c>
      <c r="D163" s="8" t="inlineStr">
        <is>
          <t>1798358964494727</t>
        </is>
      </c>
      <c r="E163" s="7" t="inlineStr">
        <is>
          <t>Find Verified Flats Near You</t>
        </is>
      </c>
      <c r="F163" s="9" t="n">
        <v>46281</v>
      </c>
      <c r="G163" s="15">
        <f>'Competitor Summary'!$B$3-F163</f>
        <v/>
      </c>
      <c r="H163" s="7" t="inlineStr">
        <is>
          <t>Off-topic (real estate)</t>
        </is>
      </c>
      <c r="I163" s="14" t="inlineStr">
        <is>
          <t>Open ad</t>
        </is>
      </c>
    </row>
    <row r="164">
      <c r="A164" s="7" t="inlineStr">
        <is>
          <t>Iconic Options</t>
        </is>
      </c>
      <c r="B164" s="7" t="inlineStr">
        <is>
          <t>Real-estate listings (1 IT hiring ad)</t>
        </is>
      </c>
      <c r="C164" s="8" t="inlineStr">
        <is>
          <t>1022000921003672</t>
        </is>
      </c>
      <c r="D164" s="8" t="inlineStr">
        <is>
          <t>1814030646269620</t>
        </is>
      </c>
      <c r="E164" s="7" t="inlineStr">
        <is>
          <t>Search Smarter For Homes</t>
        </is>
      </c>
      <c r="F164" s="9" t="n">
        <v>46281</v>
      </c>
      <c r="G164" s="15">
        <f>'Competitor Summary'!$B$3-F164</f>
        <v/>
      </c>
      <c r="H164" s="7" t="inlineStr">
        <is>
          <t>Off-topic (real estate)</t>
        </is>
      </c>
      <c r="I164" s="14" t="inlineStr">
        <is>
          <t>Open ad</t>
        </is>
      </c>
    </row>
  </sheetData>
  <autoFilter ref="A4:I164"/>
  <mergeCells count="1">
    <mergeCell ref="A2:I2"/>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 xmlns:r="http://schemas.openxmlformats.org/officeDocument/2006/relationships" ref="I12" r:id="rId8"/>
    <hyperlink xmlns:r="http://schemas.openxmlformats.org/officeDocument/2006/relationships" ref="I13" r:id="rId9"/>
    <hyperlink xmlns:r="http://schemas.openxmlformats.org/officeDocument/2006/relationships" ref="I14" r:id="rId10"/>
    <hyperlink xmlns:r="http://schemas.openxmlformats.org/officeDocument/2006/relationships" ref="I15" r:id="rId11"/>
    <hyperlink xmlns:r="http://schemas.openxmlformats.org/officeDocument/2006/relationships" ref="I16" r:id="rId12"/>
    <hyperlink xmlns:r="http://schemas.openxmlformats.org/officeDocument/2006/relationships" ref="I17" r:id="rId13"/>
    <hyperlink xmlns:r="http://schemas.openxmlformats.org/officeDocument/2006/relationships" ref="I18" r:id="rId14"/>
    <hyperlink xmlns:r="http://schemas.openxmlformats.org/officeDocument/2006/relationships" ref="I19" r:id="rId15"/>
    <hyperlink xmlns:r="http://schemas.openxmlformats.org/officeDocument/2006/relationships" ref="I20" r:id="rId16"/>
    <hyperlink xmlns:r="http://schemas.openxmlformats.org/officeDocument/2006/relationships" ref="I21" r:id="rId17"/>
    <hyperlink xmlns:r="http://schemas.openxmlformats.org/officeDocument/2006/relationships" ref="I22" r:id="rId18"/>
    <hyperlink xmlns:r="http://schemas.openxmlformats.org/officeDocument/2006/relationships" ref="I23" r:id="rId19"/>
    <hyperlink xmlns:r="http://schemas.openxmlformats.org/officeDocument/2006/relationships" ref="I24" r:id="rId20"/>
    <hyperlink xmlns:r="http://schemas.openxmlformats.org/officeDocument/2006/relationships" ref="I25" r:id="rId21"/>
    <hyperlink xmlns:r="http://schemas.openxmlformats.org/officeDocument/2006/relationships" ref="I26" r:id="rId22"/>
    <hyperlink xmlns:r="http://schemas.openxmlformats.org/officeDocument/2006/relationships" ref="I27" r:id="rId23"/>
    <hyperlink xmlns:r="http://schemas.openxmlformats.org/officeDocument/2006/relationships" ref="I28" r:id="rId24"/>
    <hyperlink xmlns:r="http://schemas.openxmlformats.org/officeDocument/2006/relationships" ref="I29" r:id="rId25"/>
    <hyperlink xmlns:r="http://schemas.openxmlformats.org/officeDocument/2006/relationships" ref="I30" r:id="rId26"/>
    <hyperlink xmlns:r="http://schemas.openxmlformats.org/officeDocument/2006/relationships" ref="I31" r:id="rId27"/>
    <hyperlink xmlns:r="http://schemas.openxmlformats.org/officeDocument/2006/relationships" ref="I32" r:id="rId28"/>
    <hyperlink xmlns:r="http://schemas.openxmlformats.org/officeDocument/2006/relationships" ref="I33" r:id="rId29"/>
    <hyperlink xmlns:r="http://schemas.openxmlformats.org/officeDocument/2006/relationships" ref="I34" r:id="rId30"/>
    <hyperlink xmlns:r="http://schemas.openxmlformats.org/officeDocument/2006/relationships" ref="I35" r:id="rId31"/>
    <hyperlink xmlns:r="http://schemas.openxmlformats.org/officeDocument/2006/relationships" ref="I36" r:id="rId32"/>
    <hyperlink xmlns:r="http://schemas.openxmlformats.org/officeDocument/2006/relationships" ref="I37" r:id="rId33"/>
    <hyperlink xmlns:r="http://schemas.openxmlformats.org/officeDocument/2006/relationships" ref="I38" r:id="rId34"/>
    <hyperlink xmlns:r="http://schemas.openxmlformats.org/officeDocument/2006/relationships" ref="I39" r:id="rId35"/>
    <hyperlink xmlns:r="http://schemas.openxmlformats.org/officeDocument/2006/relationships" ref="I40" r:id="rId36"/>
    <hyperlink xmlns:r="http://schemas.openxmlformats.org/officeDocument/2006/relationships" ref="I41" r:id="rId37"/>
    <hyperlink xmlns:r="http://schemas.openxmlformats.org/officeDocument/2006/relationships" ref="I42" r:id="rId38"/>
    <hyperlink xmlns:r="http://schemas.openxmlformats.org/officeDocument/2006/relationships" ref="I43" r:id="rId39"/>
    <hyperlink xmlns:r="http://schemas.openxmlformats.org/officeDocument/2006/relationships" ref="I44" r:id="rId40"/>
    <hyperlink xmlns:r="http://schemas.openxmlformats.org/officeDocument/2006/relationships" ref="I45" r:id="rId41"/>
    <hyperlink xmlns:r="http://schemas.openxmlformats.org/officeDocument/2006/relationships" ref="I46" r:id="rId42"/>
    <hyperlink xmlns:r="http://schemas.openxmlformats.org/officeDocument/2006/relationships" ref="I47" r:id="rId43"/>
    <hyperlink xmlns:r="http://schemas.openxmlformats.org/officeDocument/2006/relationships" ref="I48" r:id="rId44"/>
    <hyperlink xmlns:r="http://schemas.openxmlformats.org/officeDocument/2006/relationships" ref="I49" r:id="rId45"/>
    <hyperlink xmlns:r="http://schemas.openxmlformats.org/officeDocument/2006/relationships" ref="I50" r:id="rId46"/>
    <hyperlink xmlns:r="http://schemas.openxmlformats.org/officeDocument/2006/relationships" ref="I51" r:id="rId47"/>
    <hyperlink xmlns:r="http://schemas.openxmlformats.org/officeDocument/2006/relationships" ref="I52" r:id="rId48"/>
    <hyperlink xmlns:r="http://schemas.openxmlformats.org/officeDocument/2006/relationships" ref="I53" r:id="rId49"/>
    <hyperlink xmlns:r="http://schemas.openxmlformats.org/officeDocument/2006/relationships" ref="I54" r:id="rId50"/>
    <hyperlink xmlns:r="http://schemas.openxmlformats.org/officeDocument/2006/relationships" ref="I55" r:id="rId51"/>
    <hyperlink xmlns:r="http://schemas.openxmlformats.org/officeDocument/2006/relationships" ref="I56" r:id="rId52"/>
    <hyperlink xmlns:r="http://schemas.openxmlformats.org/officeDocument/2006/relationships" ref="I57" r:id="rId53"/>
    <hyperlink xmlns:r="http://schemas.openxmlformats.org/officeDocument/2006/relationships" ref="I58" r:id="rId54"/>
    <hyperlink xmlns:r="http://schemas.openxmlformats.org/officeDocument/2006/relationships" ref="I59" r:id="rId55"/>
    <hyperlink xmlns:r="http://schemas.openxmlformats.org/officeDocument/2006/relationships" ref="I60" r:id="rId56"/>
    <hyperlink xmlns:r="http://schemas.openxmlformats.org/officeDocument/2006/relationships" ref="I61" r:id="rId57"/>
    <hyperlink xmlns:r="http://schemas.openxmlformats.org/officeDocument/2006/relationships" ref="I62" r:id="rId58"/>
    <hyperlink xmlns:r="http://schemas.openxmlformats.org/officeDocument/2006/relationships" ref="I63" r:id="rId59"/>
    <hyperlink xmlns:r="http://schemas.openxmlformats.org/officeDocument/2006/relationships" ref="I64" r:id="rId60"/>
    <hyperlink xmlns:r="http://schemas.openxmlformats.org/officeDocument/2006/relationships" ref="I65" r:id="rId61"/>
    <hyperlink xmlns:r="http://schemas.openxmlformats.org/officeDocument/2006/relationships" ref="I66" r:id="rId62"/>
    <hyperlink xmlns:r="http://schemas.openxmlformats.org/officeDocument/2006/relationships" ref="I67" r:id="rId63"/>
    <hyperlink xmlns:r="http://schemas.openxmlformats.org/officeDocument/2006/relationships" ref="I68" r:id="rId64"/>
    <hyperlink xmlns:r="http://schemas.openxmlformats.org/officeDocument/2006/relationships" ref="I69" r:id="rId65"/>
    <hyperlink xmlns:r="http://schemas.openxmlformats.org/officeDocument/2006/relationships" ref="I70" r:id="rId66"/>
    <hyperlink xmlns:r="http://schemas.openxmlformats.org/officeDocument/2006/relationships" ref="I71" r:id="rId67"/>
    <hyperlink xmlns:r="http://schemas.openxmlformats.org/officeDocument/2006/relationships" ref="I72" r:id="rId68"/>
    <hyperlink xmlns:r="http://schemas.openxmlformats.org/officeDocument/2006/relationships" ref="I73" r:id="rId69"/>
    <hyperlink xmlns:r="http://schemas.openxmlformats.org/officeDocument/2006/relationships" ref="I74" r:id="rId70"/>
    <hyperlink xmlns:r="http://schemas.openxmlformats.org/officeDocument/2006/relationships" ref="I75" r:id="rId71"/>
    <hyperlink xmlns:r="http://schemas.openxmlformats.org/officeDocument/2006/relationships" ref="I76" r:id="rId72"/>
    <hyperlink xmlns:r="http://schemas.openxmlformats.org/officeDocument/2006/relationships" ref="I77" r:id="rId73"/>
    <hyperlink xmlns:r="http://schemas.openxmlformats.org/officeDocument/2006/relationships" ref="I78" r:id="rId74"/>
    <hyperlink xmlns:r="http://schemas.openxmlformats.org/officeDocument/2006/relationships" ref="I79" r:id="rId75"/>
    <hyperlink xmlns:r="http://schemas.openxmlformats.org/officeDocument/2006/relationships" ref="I80" r:id="rId76"/>
    <hyperlink xmlns:r="http://schemas.openxmlformats.org/officeDocument/2006/relationships" ref="I81" r:id="rId77"/>
    <hyperlink xmlns:r="http://schemas.openxmlformats.org/officeDocument/2006/relationships" ref="I82" r:id="rId78"/>
    <hyperlink xmlns:r="http://schemas.openxmlformats.org/officeDocument/2006/relationships" ref="I83" r:id="rId79"/>
    <hyperlink xmlns:r="http://schemas.openxmlformats.org/officeDocument/2006/relationships" ref="I84" r:id="rId80"/>
    <hyperlink xmlns:r="http://schemas.openxmlformats.org/officeDocument/2006/relationships" ref="I85" r:id="rId81"/>
    <hyperlink xmlns:r="http://schemas.openxmlformats.org/officeDocument/2006/relationships" ref="I86" r:id="rId82"/>
    <hyperlink xmlns:r="http://schemas.openxmlformats.org/officeDocument/2006/relationships" ref="I87" r:id="rId83"/>
    <hyperlink xmlns:r="http://schemas.openxmlformats.org/officeDocument/2006/relationships" ref="I88" r:id="rId84"/>
    <hyperlink xmlns:r="http://schemas.openxmlformats.org/officeDocument/2006/relationships" ref="I89" r:id="rId85"/>
    <hyperlink xmlns:r="http://schemas.openxmlformats.org/officeDocument/2006/relationships" ref="I90" r:id="rId86"/>
    <hyperlink xmlns:r="http://schemas.openxmlformats.org/officeDocument/2006/relationships" ref="I91" r:id="rId87"/>
    <hyperlink xmlns:r="http://schemas.openxmlformats.org/officeDocument/2006/relationships" ref="I92" r:id="rId88"/>
    <hyperlink xmlns:r="http://schemas.openxmlformats.org/officeDocument/2006/relationships" ref="I93" r:id="rId89"/>
    <hyperlink xmlns:r="http://schemas.openxmlformats.org/officeDocument/2006/relationships" ref="I94" r:id="rId90"/>
    <hyperlink xmlns:r="http://schemas.openxmlformats.org/officeDocument/2006/relationships" ref="I95" r:id="rId91"/>
    <hyperlink xmlns:r="http://schemas.openxmlformats.org/officeDocument/2006/relationships" ref="I96" r:id="rId92"/>
    <hyperlink xmlns:r="http://schemas.openxmlformats.org/officeDocument/2006/relationships" ref="I97" r:id="rId93"/>
    <hyperlink xmlns:r="http://schemas.openxmlformats.org/officeDocument/2006/relationships" ref="I98" r:id="rId94"/>
    <hyperlink xmlns:r="http://schemas.openxmlformats.org/officeDocument/2006/relationships" ref="I99" r:id="rId95"/>
    <hyperlink xmlns:r="http://schemas.openxmlformats.org/officeDocument/2006/relationships" ref="I100" r:id="rId96"/>
    <hyperlink xmlns:r="http://schemas.openxmlformats.org/officeDocument/2006/relationships" ref="I101" r:id="rId97"/>
    <hyperlink xmlns:r="http://schemas.openxmlformats.org/officeDocument/2006/relationships" ref="I102" r:id="rId98"/>
    <hyperlink xmlns:r="http://schemas.openxmlformats.org/officeDocument/2006/relationships" ref="I103" r:id="rId99"/>
    <hyperlink xmlns:r="http://schemas.openxmlformats.org/officeDocument/2006/relationships" ref="I104" r:id="rId100"/>
    <hyperlink xmlns:r="http://schemas.openxmlformats.org/officeDocument/2006/relationships" ref="I105" r:id="rId101"/>
    <hyperlink xmlns:r="http://schemas.openxmlformats.org/officeDocument/2006/relationships" ref="I106" r:id="rId102"/>
    <hyperlink xmlns:r="http://schemas.openxmlformats.org/officeDocument/2006/relationships" ref="I107" r:id="rId103"/>
    <hyperlink xmlns:r="http://schemas.openxmlformats.org/officeDocument/2006/relationships" ref="I108" r:id="rId104"/>
    <hyperlink xmlns:r="http://schemas.openxmlformats.org/officeDocument/2006/relationships" ref="I109" r:id="rId105"/>
    <hyperlink xmlns:r="http://schemas.openxmlformats.org/officeDocument/2006/relationships" ref="I110" r:id="rId106"/>
    <hyperlink xmlns:r="http://schemas.openxmlformats.org/officeDocument/2006/relationships" ref="I111" r:id="rId107"/>
    <hyperlink xmlns:r="http://schemas.openxmlformats.org/officeDocument/2006/relationships" ref="I112" r:id="rId108"/>
    <hyperlink xmlns:r="http://schemas.openxmlformats.org/officeDocument/2006/relationships" ref="I113" r:id="rId109"/>
    <hyperlink xmlns:r="http://schemas.openxmlformats.org/officeDocument/2006/relationships" ref="I114" r:id="rId110"/>
    <hyperlink xmlns:r="http://schemas.openxmlformats.org/officeDocument/2006/relationships" ref="I115" r:id="rId111"/>
    <hyperlink xmlns:r="http://schemas.openxmlformats.org/officeDocument/2006/relationships" ref="I116" r:id="rId112"/>
    <hyperlink xmlns:r="http://schemas.openxmlformats.org/officeDocument/2006/relationships" ref="I117" r:id="rId113"/>
    <hyperlink xmlns:r="http://schemas.openxmlformats.org/officeDocument/2006/relationships" ref="I118" r:id="rId114"/>
    <hyperlink xmlns:r="http://schemas.openxmlformats.org/officeDocument/2006/relationships" ref="I119" r:id="rId115"/>
    <hyperlink xmlns:r="http://schemas.openxmlformats.org/officeDocument/2006/relationships" ref="I120" r:id="rId116"/>
    <hyperlink xmlns:r="http://schemas.openxmlformats.org/officeDocument/2006/relationships" ref="I121" r:id="rId117"/>
    <hyperlink xmlns:r="http://schemas.openxmlformats.org/officeDocument/2006/relationships" ref="I122" r:id="rId118"/>
    <hyperlink xmlns:r="http://schemas.openxmlformats.org/officeDocument/2006/relationships" ref="I123" r:id="rId119"/>
    <hyperlink xmlns:r="http://schemas.openxmlformats.org/officeDocument/2006/relationships" ref="I124" r:id="rId120"/>
    <hyperlink xmlns:r="http://schemas.openxmlformats.org/officeDocument/2006/relationships" ref="I125" r:id="rId121"/>
    <hyperlink xmlns:r="http://schemas.openxmlformats.org/officeDocument/2006/relationships" ref="I126" r:id="rId122"/>
    <hyperlink xmlns:r="http://schemas.openxmlformats.org/officeDocument/2006/relationships" ref="I127" r:id="rId123"/>
    <hyperlink xmlns:r="http://schemas.openxmlformats.org/officeDocument/2006/relationships" ref="I128" r:id="rId124"/>
    <hyperlink xmlns:r="http://schemas.openxmlformats.org/officeDocument/2006/relationships" ref="I129" r:id="rId125"/>
    <hyperlink xmlns:r="http://schemas.openxmlformats.org/officeDocument/2006/relationships" ref="I130" r:id="rId126"/>
    <hyperlink xmlns:r="http://schemas.openxmlformats.org/officeDocument/2006/relationships" ref="I131" r:id="rId127"/>
    <hyperlink xmlns:r="http://schemas.openxmlformats.org/officeDocument/2006/relationships" ref="I132" r:id="rId128"/>
    <hyperlink xmlns:r="http://schemas.openxmlformats.org/officeDocument/2006/relationships" ref="I133" r:id="rId129"/>
    <hyperlink xmlns:r="http://schemas.openxmlformats.org/officeDocument/2006/relationships" ref="I134" r:id="rId130"/>
    <hyperlink xmlns:r="http://schemas.openxmlformats.org/officeDocument/2006/relationships" ref="I135" r:id="rId131"/>
    <hyperlink xmlns:r="http://schemas.openxmlformats.org/officeDocument/2006/relationships" ref="I136" r:id="rId132"/>
    <hyperlink xmlns:r="http://schemas.openxmlformats.org/officeDocument/2006/relationships" ref="I137" r:id="rId133"/>
    <hyperlink xmlns:r="http://schemas.openxmlformats.org/officeDocument/2006/relationships" ref="I138" r:id="rId134"/>
    <hyperlink xmlns:r="http://schemas.openxmlformats.org/officeDocument/2006/relationships" ref="I139" r:id="rId135"/>
    <hyperlink xmlns:r="http://schemas.openxmlformats.org/officeDocument/2006/relationships" ref="I140" r:id="rId136"/>
    <hyperlink xmlns:r="http://schemas.openxmlformats.org/officeDocument/2006/relationships" ref="I141" r:id="rId137"/>
    <hyperlink xmlns:r="http://schemas.openxmlformats.org/officeDocument/2006/relationships" ref="I142" r:id="rId138"/>
    <hyperlink xmlns:r="http://schemas.openxmlformats.org/officeDocument/2006/relationships" ref="I143" r:id="rId139"/>
    <hyperlink xmlns:r="http://schemas.openxmlformats.org/officeDocument/2006/relationships" ref="I144" r:id="rId140"/>
    <hyperlink xmlns:r="http://schemas.openxmlformats.org/officeDocument/2006/relationships" ref="I145" r:id="rId141"/>
    <hyperlink xmlns:r="http://schemas.openxmlformats.org/officeDocument/2006/relationships" ref="I146" r:id="rId142"/>
    <hyperlink xmlns:r="http://schemas.openxmlformats.org/officeDocument/2006/relationships" ref="I147" r:id="rId143"/>
    <hyperlink xmlns:r="http://schemas.openxmlformats.org/officeDocument/2006/relationships" ref="I148" r:id="rId144"/>
    <hyperlink xmlns:r="http://schemas.openxmlformats.org/officeDocument/2006/relationships" ref="I149" r:id="rId145"/>
    <hyperlink xmlns:r="http://schemas.openxmlformats.org/officeDocument/2006/relationships" ref="I150" r:id="rId146"/>
    <hyperlink xmlns:r="http://schemas.openxmlformats.org/officeDocument/2006/relationships" ref="I151" r:id="rId147"/>
    <hyperlink xmlns:r="http://schemas.openxmlformats.org/officeDocument/2006/relationships" ref="I152" r:id="rId148"/>
    <hyperlink xmlns:r="http://schemas.openxmlformats.org/officeDocument/2006/relationships" ref="I153" r:id="rId149"/>
    <hyperlink xmlns:r="http://schemas.openxmlformats.org/officeDocument/2006/relationships" ref="I154" r:id="rId150"/>
    <hyperlink xmlns:r="http://schemas.openxmlformats.org/officeDocument/2006/relationships" ref="I155" r:id="rId151"/>
    <hyperlink xmlns:r="http://schemas.openxmlformats.org/officeDocument/2006/relationships" ref="I156" r:id="rId152"/>
    <hyperlink xmlns:r="http://schemas.openxmlformats.org/officeDocument/2006/relationships" ref="I157" r:id="rId153"/>
    <hyperlink xmlns:r="http://schemas.openxmlformats.org/officeDocument/2006/relationships" ref="I158" r:id="rId154"/>
    <hyperlink xmlns:r="http://schemas.openxmlformats.org/officeDocument/2006/relationships" ref="I159" r:id="rId155"/>
    <hyperlink xmlns:r="http://schemas.openxmlformats.org/officeDocument/2006/relationships" ref="I160" r:id="rId156"/>
    <hyperlink xmlns:r="http://schemas.openxmlformats.org/officeDocument/2006/relationships" ref="I161" r:id="rId157"/>
    <hyperlink xmlns:r="http://schemas.openxmlformats.org/officeDocument/2006/relationships" ref="I162" r:id="rId158"/>
    <hyperlink xmlns:r="http://schemas.openxmlformats.org/officeDocument/2006/relationships" ref="I163" r:id="rId159"/>
    <hyperlink xmlns:r="http://schemas.openxmlformats.org/officeDocument/2006/relationships" ref="I164" r:id="rId160"/>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34" customWidth="1" min="1" max="1"/>
    <col width="8" customWidth="1" min="2" max="2"/>
    <col width="12" customWidth="1" min="3" max="3"/>
    <col width="62" customWidth="1" min="4" max="4"/>
    <col width="50" customWidth="1" min="5" max="5"/>
  </cols>
  <sheetData>
    <row r="1">
      <c r="A1" s="1" t="inlineStr">
        <is>
          <t>Which hooks this audience is being hit with</t>
        </is>
      </c>
    </row>
    <row r="2">
      <c r="A2" s="16" t="inlineStr">
        <is>
          <t>Counts are formulas over 'All Active Ads'.</t>
        </is>
      </c>
    </row>
    <row r="4">
      <c r="A4" s="6" t="inlineStr">
        <is>
          <t>Headline pattern</t>
        </is>
      </c>
      <c r="B4" s="6" t="inlineStr">
        <is>
          <t>Ads</t>
        </is>
      </c>
      <c r="C4" s="6" t="inlineStr">
        <is>
          <t>Share of all ads</t>
        </is>
      </c>
      <c r="D4" s="6" t="inlineStr">
        <is>
          <t>Example headline</t>
        </is>
      </c>
      <c r="E4" s="6" t="inlineStr">
        <is>
          <t>Use for Zarthi?</t>
        </is>
      </c>
    </row>
    <row r="5">
      <c r="A5" s="7" t="inlineStr">
        <is>
          <t>Experience call-out</t>
        </is>
      </c>
      <c r="B5" s="7">
        <f>COUNTIF('All Active Ads'!$H$5:$H$164,A5)</f>
        <v/>
      </c>
      <c r="C5" s="17">
        <f>IF(SUM($B$5:$B$15)=0,0,B5/SUM($B$5:$B$15))</f>
        <v/>
      </c>
      <c r="D5" s="7" t="inlineStr">
        <is>
          <t>7+ Years? Apply for SPM Architect</t>
        </is>
      </c>
      <c r="E5" s="7" t="inlineStr">
        <is>
          <t>Yes. Lead with '10+ years in cloud?'</t>
        </is>
      </c>
    </row>
    <row r="6">
      <c r="A6" s="7" t="inlineStr">
        <is>
          <t>Job / hiring offer</t>
        </is>
      </c>
      <c r="B6" s="7">
        <f>COUNTIF('All Active Ads'!$H$5:$H$164,A6)</f>
        <v/>
      </c>
      <c r="C6" s="17">
        <f>IF(SUM($B$5:$B$15)=0,0,B6/SUM($B$5:$B$15))</f>
        <v/>
      </c>
      <c r="D6" s="7" t="inlineStr">
        <is>
          <t>Enterprise Technology &amp; AI Advisory | Join US! | In Digital Transformation | Of Our Offerings | Scan QR</t>
        </is>
      </c>
      <c r="E6" s="7" t="inlineStr">
        <is>
          <t>Yes. Make 'Zarthi is hiring' unmistakable</t>
        </is>
      </c>
    </row>
    <row r="7">
      <c r="A7" s="7" t="inlineStr">
        <is>
          <t>Transformation (become X)</t>
        </is>
      </c>
      <c r="B7" s="7">
        <f>COUNTIF('All Active Ads'!$H$5:$H$164,A7)</f>
        <v/>
      </c>
      <c r="C7" s="17">
        <f>IF(SUM($B$5:$B$15)=0,0,B7/SUM($B$5:$B$15))</f>
        <v/>
      </c>
      <c r="D7" s="7" t="inlineStr">
        <is>
          <t>Become an Strong Software Architect</t>
        </is>
      </c>
      <c r="E7" s="7" t="inlineStr">
        <is>
          <t>No. This is the course noise we must stand apart from</t>
        </is>
      </c>
    </row>
    <row r="8">
      <c r="A8" s="7" t="inlineStr">
        <is>
          <t>Exclusivity (working professionals only)</t>
        </is>
      </c>
      <c r="B8" s="7">
        <f>COUNTIF('All Active Ads'!$H$5:$H$164,A8)</f>
        <v/>
      </c>
      <c r="C8" s="17">
        <f>IF(SUM($B$5:$B$15)=0,0,B8/SUM($B$5:$B$15))</f>
        <v/>
      </c>
      <c r="D8" s="7" t="inlineStr">
        <is>
          <t>For Working Professional Only</t>
        </is>
      </c>
      <c r="E8" s="7" t="inlineStr">
        <is>
          <t>Yes, as '10+ years only'</t>
        </is>
      </c>
    </row>
    <row r="9">
      <c r="A9" s="7" t="inlineStr">
        <is>
          <t>Scarcity</t>
        </is>
      </c>
      <c r="B9" s="7">
        <f>COUNTIF('All Active Ads'!$H$5:$H$164,A9)</f>
        <v/>
      </c>
      <c r="C9" s="17">
        <f>IF(SUM($B$5:$B$15)=0,0,B9/SUM($B$5:$B$15))</f>
        <v/>
      </c>
      <c r="D9" s="7" t="inlineStr">
        <is>
          <t>Become an AI Engineer in 6 Months — Only 20 Seats Left</t>
        </is>
      </c>
      <c r="E9" s="7" t="inlineStr">
        <is>
          <t>Lightly. '2 roles' is true scarcity</t>
        </is>
      </c>
    </row>
    <row r="10">
      <c r="A10" s="7" t="inlineStr">
        <is>
          <t>Price-led</t>
        </is>
      </c>
      <c r="B10" s="7">
        <f>COUNTIF('All Active Ads'!$H$5:$H$164,A10)</f>
        <v/>
      </c>
      <c r="C10" s="17">
        <f>IF(SUM($B$5:$B$15)=0,0,B10/SUM($B$5:$B$15))</f>
        <v/>
      </c>
      <c r="D10" s="7" t="inlineStr">
        <is>
          <t>DevOps Training at ₹9,999 + GST</t>
        </is>
      </c>
      <c r="E10" s="7" t="inlineStr">
        <is>
          <t>No</t>
        </is>
      </c>
    </row>
    <row r="11">
      <c r="A11" s="7" t="inlineStr">
        <is>
          <t>Free / low-friction</t>
        </is>
      </c>
      <c r="B11" s="7">
        <f>COUNTIF('All Active Ads'!$H$5:$H$164,A11)</f>
        <v/>
      </c>
      <c r="C11" s="17">
        <f>IF(SUM($B$5:$B$15)=0,0,B11/SUM($B$5:$B$15))</f>
        <v/>
      </c>
      <c r="D11" s="7" t="inlineStr">
        <is>
          <t>Free to apply. Takes 2 minutes to set up.</t>
        </is>
      </c>
      <c r="E11" s="7" t="inlineStr">
        <is>
          <t>Yes. 'No CV, 60-second form'</t>
        </is>
      </c>
    </row>
    <row r="12">
      <c r="A12" s="7" t="inlineStr">
        <is>
          <t>Event / talk titles</t>
        </is>
      </c>
      <c r="B12" s="7">
        <f>COUNTIF('All Active Ads'!$H$5:$H$164,A12)</f>
        <v/>
      </c>
      <c r="C12" s="17">
        <f>IF(SUM($B$5:$B$15)=0,0,B12/SUM($B$5:$B$15))</f>
        <v/>
      </c>
      <c r="D12" s="7" t="inlineStr">
        <is>
          <t>Secure Your LLM Apps for Production</t>
        </is>
      </c>
      <c r="E12" s="7" t="inlineStr">
        <is>
          <t>Organic: architecture-challenge posts and events</t>
        </is>
      </c>
    </row>
    <row r="13">
      <c r="A13" s="7" t="inlineStr">
        <is>
          <t>No headline (visual-led)</t>
        </is>
      </c>
      <c r="B13" s="7">
        <f>COUNTIF('All Active Ads'!$H$5:$H$164,A13)</f>
        <v/>
      </c>
      <c r="C13" s="17">
        <f>IF(SUM($B$5:$B$15)=0,0,B13/SUM($B$5:$B$15))</f>
        <v/>
      </c>
      <c r="D13" s="7" t="inlineStr">
        <is>
          <t>(no headline)</t>
        </is>
      </c>
      <c r="E13" s="7" t="inlineStr">
        <is>
          <t>Test one visual-led creative</t>
        </is>
      </c>
    </row>
    <row r="14">
      <c r="A14" s="7" t="inlineStr">
        <is>
          <t>Off-topic (real estate)</t>
        </is>
      </c>
      <c r="B14" s="7">
        <f>COUNTIF('All Active Ads'!$H$5:$H$164,A14)</f>
        <v/>
      </c>
      <c r="C14" s="17">
        <f>IF(SUM($B$5:$B$15)=0,0,B14/SUM($B$5:$B$15))</f>
        <v/>
      </c>
      <c r="D14" s="7" t="inlineStr">
        <is>
          <t>Tell Us Your Budget. Find Your Property.</t>
        </is>
      </c>
      <c r="E14" s="7" t="inlineStr">
        <is>
          <t>Ignore</t>
        </is>
      </c>
    </row>
    <row r="15">
      <c r="A15" s="7" t="inlineStr">
        <is>
          <t>Other</t>
        </is>
      </c>
      <c r="B15" s="7">
        <f>COUNTIF('All Active Ads'!$H$5:$H$164,A15)</f>
        <v/>
      </c>
      <c r="C15" s="17">
        <f>IF(SUM($B$5:$B$15)=0,0,B15/SUM($B$5:$B$15))</f>
        <v/>
      </c>
      <c r="D15" s="7" t="inlineStr">
        <is>
          <t>–</t>
        </is>
      </c>
      <c r="E15" s="7"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2026-09-28T12:14:03Z</dcterms:created>
  <dcterms:modified xsi:type="dcterms:W3CDTF">2026-09-28T12:14:03Z</dcterms:modified>
</cp:coreProperties>
</file>