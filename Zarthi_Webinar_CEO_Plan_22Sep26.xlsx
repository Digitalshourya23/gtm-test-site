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746" firstSheet="0" activeTab="0" autoFilterDateGrouping="1"/>
  </bookViews>
  <sheets>
    <sheet name="Overview" sheetId="1" state="visible" r:id="rId1"/>
    <sheet name="Topics" sheetId="2" state="visible" r:id="rId2"/>
    <sheet name="Audience" sheetId="3" state="visible" r:id="rId3"/>
    <sheet name="Funnel" sheetId="4" state="visible" r:id="rId4"/>
    <sheet name="Budget" sheetId="5" state="visible" r:id="rId5"/>
    <sheet name="Benefits" sheetId="6" state="visible" r:id="rId6"/>
    <sheet name="Ads Plan" sheetId="7" state="visible" r:id="rId7"/>
    <sheet name="Creatives" sheetId="8" state="visible" r:id="rId8"/>
    <sheet name="VSL Funnel" sheetId="9" state="visible" r:id="rId9"/>
    <sheet name="Daily Plan" sheetId="10" state="visible" r:id="rId10"/>
    <sheet name="Timeline" sheetId="11" state="visible" r:id="rId11"/>
    <sheet name="Decisions" sheetId="12" state="visible" r:id="rId12"/>
    <sheet name="Checklist" sheetId="13" state="visible" r:id="rId13"/>
  </sheets>
  <definedNames>
    <definedName name="_xlnm._FilterDatabase" localSheetId="12" hidden="1">'Checklist'!$A$3:$D$49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&quot;₹&quot;#,##0"/>
    <numFmt numFmtId="166" formatCode="yyyy-mm-dd h:mm:ss"/>
    <numFmt numFmtId="167" formatCode="ddd dd-mmm"/>
  </numFmts>
  <fonts count="22">
    <font>
      <name val="Calibri"/>
      <family val="2"/>
      <color theme="1"/>
      <sz val="11"/>
      <scheme val="minor"/>
    </font>
    <font>
      <name val="Calibri"/>
      <b val="1"/>
      <color rgb="FF262626"/>
      <sz val="14"/>
    </font>
    <font>
      <name val="Calibri"/>
      <b val="1"/>
      <color rgb="FF262626"/>
      <sz val="11"/>
    </font>
    <font>
      <name val="Calibri"/>
      <b val="1"/>
      <color rgb="FFFFFFFF"/>
      <sz val="11"/>
    </font>
    <font>
      <name val="Calibri"/>
      <b val="1"/>
      <sz val="11"/>
    </font>
    <font>
      <name val="Calibri"/>
      <i val="1"/>
      <color rgb="FF6C6969"/>
      <sz val="11"/>
    </font>
    <font>
      <name val="Calibri"/>
      <family val="2"/>
      <b val="1"/>
      <sz val="11"/>
    </font>
    <font>
      <name val="Calibri"/>
      <family val="2"/>
      <sz val="11"/>
      <scheme val="minor"/>
    </font>
    <font>
      <name val="Calibri"/>
      <family val="2"/>
      <color theme="10"/>
      <sz val="11"/>
      <u val="single"/>
      <scheme val="minor"/>
    </font>
    <font>
      <name val="Almaden Sans"/>
      <charset val="1"/>
      <color rgb="FF333333"/>
      <sz val="11"/>
    </font>
    <font>
      <name val="Almaden Sans"/>
      <b val="1"/>
      <color rgb="FF2A2B2D"/>
      <sz val="11"/>
    </font>
    <font>
      <name val="Almaden Sans"/>
      <color rgb="FF2A2B2D"/>
      <sz val="11"/>
    </font>
    <font>
      <name val="Almaden Sans"/>
      <charset val="1"/>
      <color rgb="FF222325"/>
      <sz val="11"/>
    </font>
    <font>
      <name val="Calibri"/>
      <family val="2"/>
      <b val="1"/>
      <color theme="1"/>
      <sz val="11"/>
      <scheme val="minor"/>
    </font>
    <font>
      <name val="Calibri"/>
      <b val="1"/>
      <color rgb="FFFF0000"/>
      <sz val="11"/>
    </font>
    <font>
      <name val="Calibri"/>
      <family val="2"/>
      <color rgb="FFFF0000"/>
      <sz val="11"/>
      <scheme val="minor"/>
    </font>
    <font>
      <name val="Calibri"/>
      <family val="2"/>
      <b val="1"/>
      <color rgb="FFFF0000"/>
      <sz val="11"/>
      <scheme val="minor"/>
    </font>
    <font>
      <name val="Calibri"/>
      <color rgb="FF000000"/>
      <sz val="11"/>
    </font>
    <font>
      <name val="Calibri"/>
      <color rgb="FFFF0000"/>
      <sz val="11"/>
    </font>
    <font>
      <name val="Calibri"/>
      <sz val="11"/>
    </font>
    <font>
      <name val="Calibri"/>
      <i val="1"/>
      <color rgb="FF595959"/>
      <sz val="10"/>
    </font>
    <font>
      <name val="Calibri"/>
      <b val="1"/>
      <color rgb="FF262626"/>
      <sz val="12"/>
    </font>
  </fonts>
  <fills count="9">
    <fill>
      <patternFill/>
    </fill>
    <fill>
      <patternFill patternType="gray125"/>
    </fill>
    <fill>
      <patternFill patternType="solid">
        <fgColor rgb="FF262626"/>
      </patternFill>
    </fill>
    <fill>
      <patternFill patternType="solid">
        <fgColor rgb="FFFFFBEA"/>
      </patternFill>
    </fill>
    <fill>
      <patternFill patternType="solid">
        <fgColor rgb="FFFFF4E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</patternFill>
    </fill>
    <fill>
      <patternFill patternType="solid">
        <fgColor rgb="FFE2EFDA"/>
      </patternFill>
    </fill>
  </fills>
  <borders count="13">
    <border>
      <left/>
      <right/>
      <top/>
      <bottom/>
      <diagonal/>
    </border>
    <border>
      <left/>
      <right/>
      <top/>
      <bottom style="medium">
        <color rgb="FFFFB42A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/>
      <right/>
      <top style="thin">
        <color rgb="FFD0D0D0"/>
      </top>
      <bottom style="thin">
        <color rgb="FFD0D0D0"/>
      </bottom>
      <diagonal/>
    </border>
    <border>
      <left/>
      <right style="thin">
        <color rgb="FFD0D0D0"/>
      </right>
      <top style="thin">
        <color rgb="FFD0D0D0"/>
      </top>
      <bottom style="thin">
        <color rgb="FFD0D0D0"/>
      </bottom>
      <diagonal/>
    </border>
    <border>
      <left/>
      <right/>
      <top style="thin">
        <color rgb="FFD0D0D0"/>
      </top>
      <bottom/>
      <diagonal/>
    </border>
    <border>
      <left/>
      <right style="thin">
        <color rgb="FFD0D0D0"/>
      </right>
      <top style="thin">
        <color rgb="FFD0D0D0"/>
      </top>
      <bottom/>
      <diagonal/>
    </border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8" fillId="0" borderId="0"/>
  </cellStyleXfs>
  <cellXfs count="93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3" fillId="2" borderId="2" applyAlignment="1" pivotButton="0" quotePrefix="0" xfId="0">
      <alignment vertical="top" wrapText="1"/>
    </xf>
    <xf numFmtId="0" fontId="4" fillId="0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4" fillId="0" borderId="0" pivotButton="0" quotePrefix="0" xfId="0"/>
    <xf numFmtId="9" fontId="0" fillId="3" borderId="2" applyAlignment="1" pivotButton="0" quotePrefix="0" xfId="0">
      <alignment horizontal="center" vertical="top" wrapText="1"/>
    </xf>
    <xf numFmtId="9" fontId="0" fillId="0" borderId="0" applyAlignment="1" pivotButton="0" quotePrefix="0" xfId="0">
      <alignment horizontal="center" vertical="top" wrapText="1"/>
    </xf>
    <xf numFmtId="0" fontId="4" fillId="0" borderId="2" applyAlignment="1" pivotButton="0" quotePrefix="0" xfId="0">
      <alignment horizontal="center" vertical="top" wrapText="1"/>
    </xf>
    <xf numFmtId="0" fontId="0" fillId="3" borderId="2" applyAlignment="1" pivotButton="0" quotePrefix="0" xfId="0">
      <alignment horizontal="center" vertical="top" wrapText="1"/>
    </xf>
    <xf numFmtId="2" fontId="0" fillId="0" borderId="2" applyAlignment="1" pivotButton="0" quotePrefix="0" xfId="0">
      <alignment horizontal="center" vertical="top" wrapText="1"/>
    </xf>
    <xf numFmtId="0" fontId="4" fillId="4" borderId="2" applyAlignment="1" pivotButton="0" quotePrefix="0" xfId="0">
      <alignment horizontal="center" vertical="top" wrapText="1"/>
    </xf>
    <xf numFmtId="0" fontId="0" fillId="4" borderId="2" applyAlignment="1" pivotButton="0" quotePrefix="0" xfId="0">
      <alignment vertical="top" wrapText="1"/>
    </xf>
    <xf numFmtId="0" fontId="0" fillId="4" borderId="2" applyAlignment="1" pivotButton="0" quotePrefix="0" xfId="0">
      <alignment horizontal="center" vertical="top" wrapText="1"/>
    </xf>
    <xf numFmtId="2" fontId="4" fillId="4" borderId="2" applyAlignment="1" pivotButton="0" quotePrefix="0" xfId="0">
      <alignment horizontal="center" vertical="top" wrapText="1"/>
    </xf>
    <xf numFmtId="0" fontId="5" fillId="0" borderId="0" pivotButton="0" quotePrefix="0" xfId="0"/>
    <xf numFmtId="0" fontId="3" fillId="2" borderId="2" applyAlignment="1" pivotButton="0" quotePrefix="0" xfId="0">
      <alignment horizontal="center" vertical="top" wrapText="1"/>
    </xf>
    <xf numFmtId="0" fontId="4" fillId="0" borderId="2" pivotButton="0" quotePrefix="0" xfId="0"/>
    <xf numFmtId="1" fontId="0" fillId="3" borderId="2" applyAlignment="1" pivotButton="0" quotePrefix="0" xfId="0">
      <alignment horizontal="center" vertical="top" wrapText="1"/>
    </xf>
    <xf numFmtId="3" fontId="0" fillId="0" borderId="2" applyAlignment="1" pivotButton="0" quotePrefix="0" xfId="0">
      <alignment horizontal="center" vertical="top" wrapText="1"/>
    </xf>
    <xf numFmtId="3" fontId="0" fillId="3" borderId="2" applyAlignment="1" pivotButton="0" quotePrefix="0" xfId="0">
      <alignment horizontal="center" vertical="top" wrapText="1"/>
    </xf>
    <xf numFmtId="164" fontId="0" fillId="3" borderId="2" applyAlignment="1" pivotButton="0" quotePrefix="0" xfId="0">
      <alignment horizontal="center" vertical="top" wrapText="1"/>
    </xf>
    <xf numFmtId="0" fontId="4" fillId="4" borderId="2" applyAlignment="1" pivotButton="0" quotePrefix="0" xfId="0">
      <alignment vertical="top" wrapText="1"/>
    </xf>
    <xf numFmtId="165" fontId="0" fillId="3" borderId="2" pivotButton="0" quotePrefix="0" xfId="0"/>
    <xf numFmtId="165" fontId="0" fillId="0" borderId="2" pivotButton="0" quotePrefix="0" xfId="0"/>
    <xf numFmtId="165" fontId="4" fillId="0" borderId="2" pivotButton="0" quotePrefix="0" xfId="0"/>
    <xf numFmtId="165" fontId="0" fillId="0" borderId="2" applyAlignment="1" pivotButton="0" quotePrefix="0" xfId="0">
      <alignment vertical="top" wrapText="1"/>
    </xf>
    <xf numFmtId="0" fontId="0" fillId="3" borderId="2" applyAlignment="1" pivotButton="0" quotePrefix="0" xfId="0">
      <alignment vertical="top" wrapText="1"/>
    </xf>
    <xf numFmtId="0" fontId="0" fillId="0" borderId="2" applyAlignment="1" pivotButton="0" quotePrefix="0" xfId="0">
      <alignment horizontal="center" vertical="top" wrapText="1"/>
    </xf>
    <xf numFmtId="0" fontId="6" fillId="5" borderId="2" applyAlignment="1" pivotButton="0" quotePrefix="0" xfId="0">
      <alignment vertical="top" wrapText="1"/>
    </xf>
    <xf numFmtId="165" fontId="6" fillId="5" borderId="2" applyAlignment="1" pivotButton="0" quotePrefix="0" xfId="0">
      <alignment vertical="top" wrapText="1"/>
    </xf>
    <xf numFmtId="0" fontId="7" fillId="5" borderId="0" pivotButton="0" quotePrefix="0" xfId="0"/>
    <xf numFmtId="0" fontId="6" fillId="0" borderId="2" applyAlignment="1" pivotButton="0" quotePrefix="0" xfId="0">
      <alignment vertical="top" wrapText="1"/>
    </xf>
    <xf numFmtId="0" fontId="3" fillId="2" borderId="2" applyAlignment="1" pivotButton="0" quotePrefix="0" xfId="0">
      <alignment vertical="top"/>
    </xf>
    <xf numFmtId="0" fontId="4" fillId="0" borderId="2" applyAlignment="1" pivotButton="0" quotePrefix="0" xfId="0">
      <alignment vertical="top"/>
    </xf>
    <xf numFmtId="0" fontId="0" fillId="6" borderId="0" pivotButton="0" quotePrefix="0" xfId="0"/>
    <xf numFmtId="0" fontId="0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9" fillId="0" borderId="0" pivotButton="0" quotePrefix="0" xfId="0"/>
    <xf numFmtId="0" fontId="12" fillId="0" borderId="0" pivotButton="0" quotePrefix="0" xfId="0"/>
    <xf numFmtId="0" fontId="8" fillId="0" borderId="0" applyAlignment="1" pivotButton="0" quotePrefix="0" xfId="1">
      <alignment wrapText="1"/>
    </xf>
    <xf numFmtId="0" fontId="13" fillId="0" borderId="0" pivotButton="0" quotePrefix="0" xfId="0"/>
    <xf numFmtId="0" fontId="11" fillId="0" borderId="0" pivotButton="0" quotePrefix="0" xfId="0"/>
    <xf numFmtId="0" fontId="14" fillId="6" borderId="2" applyAlignment="1" pivotButton="0" quotePrefix="0" xfId="0">
      <alignment vertical="top" wrapText="1"/>
    </xf>
    <xf numFmtId="0" fontId="16" fillId="0" borderId="0" pivotButton="0" quotePrefix="0" xfId="0"/>
    <xf numFmtId="0" fontId="14" fillId="6" borderId="2" applyAlignment="1" pivotButton="0" quotePrefix="0" xfId="0">
      <alignment vertical="top" wrapText="1"/>
    </xf>
    <xf numFmtId="0" fontId="15" fillId="6" borderId="3" applyAlignment="1" pivotButton="0" quotePrefix="0" xfId="0">
      <alignment wrapText="1"/>
    </xf>
    <xf numFmtId="0" fontId="15" fillId="6" borderId="4" applyAlignment="1" pivotButton="0" quotePrefix="0" xfId="0">
      <alignment wrapText="1"/>
    </xf>
    <xf numFmtId="0" fontId="0" fillId="0" borderId="2" applyAlignment="1" pivotButton="0" quotePrefix="0" xfId="0">
      <alignment vertical="top" wrapText="1"/>
    </xf>
    <xf numFmtId="0" fontId="0" fillId="0" borderId="3" applyAlignment="1" pivotButton="0" quotePrefix="0" xfId="0">
      <alignment wrapText="1"/>
    </xf>
    <xf numFmtId="0" fontId="0" fillId="0" borderId="4" applyAlignment="1" pivotButton="0" quotePrefix="0" xfId="0">
      <alignment wrapText="1"/>
    </xf>
    <xf numFmtId="0" fontId="3" fillId="2" borderId="2" applyAlignment="1" pivotButton="0" quotePrefix="0" xfId="0">
      <alignment vertical="top" wrapText="1"/>
    </xf>
    <xf numFmtId="0" fontId="0" fillId="0" borderId="3" pivotButton="0" quotePrefix="0" xfId="0"/>
    <xf numFmtId="0" fontId="0" fillId="0" borderId="4" pivotButton="0" quotePrefix="0" xfId="0"/>
    <xf numFmtId="0" fontId="0" fillId="8" borderId="2" applyAlignment="1" pivotButton="0" quotePrefix="0" xfId="0">
      <alignment vertical="top" wrapText="1"/>
    </xf>
    <xf numFmtId="0" fontId="0" fillId="8" borderId="0" applyAlignment="1" pivotButton="0" quotePrefix="0" xfId="0">
      <alignment wrapText="1"/>
    </xf>
    <xf numFmtId="0" fontId="4" fillId="8" borderId="2" pivotButton="0" quotePrefix="0" xfId="0"/>
    <xf numFmtId="1" fontId="0" fillId="0" borderId="2" applyAlignment="1" pivotButton="0" quotePrefix="0" xfId="0">
      <alignment horizontal="center" vertical="top" wrapText="1"/>
    </xf>
    <xf numFmtId="0" fontId="20" fillId="0" borderId="0" pivotButton="0" quotePrefix="0" xfId="0"/>
    <xf numFmtId="0" fontId="1" fillId="0" borderId="7" pivotButton="0" quotePrefix="0" xfId="0"/>
    <xf numFmtId="0" fontId="19" fillId="0" borderId="7" pivotButton="0" quotePrefix="0" xfId="0"/>
    <xf numFmtId="0" fontId="20" fillId="0" borderId="7" pivotButton="0" quotePrefix="0" xfId="0"/>
    <xf numFmtId="0" fontId="3" fillId="2" borderId="8" applyAlignment="1" pivotButton="0" quotePrefix="0" xfId="0">
      <alignment vertical="center" wrapText="1"/>
    </xf>
    <xf numFmtId="0" fontId="4" fillId="0" borderId="8" applyAlignment="1" pivotButton="0" quotePrefix="0" xfId="0">
      <alignment vertical="top" wrapText="1"/>
    </xf>
    <xf numFmtId="1" fontId="19" fillId="3" borderId="8" applyAlignment="1" pivotButton="0" quotePrefix="0" xfId="0">
      <alignment vertical="top" wrapText="1"/>
    </xf>
    <xf numFmtId="0" fontId="19" fillId="0" borderId="8" applyAlignment="1" pivotButton="0" quotePrefix="0" xfId="0">
      <alignment vertical="top" wrapText="1"/>
    </xf>
    <xf numFmtId="9" fontId="19" fillId="3" borderId="8" applyAlignment="1" pivotButton="0" quotePrefix="0" xfId="0">
      <alignment vertical="top" wrapText="1"/>
    </xf>
    <xf numFmtId="3" fontId="19" fillId="0" borderId="8" applyAlignment="1" pivotButton="0" quotePrefix="0" xfId="0">
      <alignment vertical="top" wrapText="1"/>
    </xf>
    <xf numFmtId="164" fontId="19" fillId="3" borderId="8" applyAlignment="1" pivotButton="0" quotePrefix="0" xfId="0">
      <alignment vertical="top" wrapText="1"/>
    </xf>
    <xf numFmtId="0" fontId="0" fillId="0" borderId="11" pivotButton="0" quotePrefix="0" xfId="0"/>
    <xf numFmtId="0" fontId="0" fillId="0" borderId="12" pivotButton="0" quotePrefix="0" xfId="0"/>
    <xf numFmtId="3" fontId="19" fillId="3" borderId="8" applyAlignment="1" pivotButton="0" quotePrefix="0" xfId="0">
      <alignment vertical="top" wrapText="1"/>
    </xf>
    <xf numFmtId="165" fontId="19" fillId="3" borderId="8" applyAlignment="1" pivotButton="0" quotePrefix="0" xfId="0">
      <alignment vertical="top" wrapText="1"/>
    </xf>
    <xf numFmtId="165" fontId="19" fillId="0" borderId="8" applyAlignment="1" pivotButton="0" quotePrefix="0" xfId="0">
      <alignment vertical="top" wrapText="1"/>
    </xf>
    <xf numFmtId="0" fontId="4" fillId="7" borderId="8" applyAlignment="1" pivotButton="0" quotePrefix="0" xfId="0">
      <alignment vertical="top" wrapText="1"/>
    </xf>
    <xf numFmtId="3" fontId="4" fillId="7" borderId="8" applyAlignment="1" pivotButton="0" quotePrefix="0" xfId="0">
      <alignment vertical="top" wrapText="1"/>
    </xf>
    <xf numFmtId="165" fontId="4" fillId="7" borderId="8" applyAlignment="1" pivotButton="0" quotePrefix="0" xfId="0">
      <alignment vertical="top" wrapText="1"/>
    </xf>
    <xf numFmtId="0" fontId="19" fillId="7" borderId="8" applyAlignment="1" pivotButton="0" quotePrefix="0" xfId="0">
      <alignment vertical="top" wrapText="1"/>
    </xf>
    <xf numFmtId="0" fontId="21" fillId="0" borderId="7" pivotButton="0" quotePrefix="0" xfId="0"/>
    <xf numFmtId="165" fontId="4" fillId="0" borderId="8" applyAlignment="1" pivotButton="0" quotePrefix="0" xfId="0">
      <alignment vertical="top" wrapText="1"/>
    </xf>
    <xf numFmtId="167" fontId="19" fillId="3" borderId="8" applyAlignment="1" pivotButton="0" quotePrefix="0" xfId="0">
      <alignment vertical="top" wrapText="1"/>
    </xf>
    <xf numFmtId="1" fontId="19" fillId="0" borderId="8" applyAlignment="1" pivotButton="0" quotePrefix="0" xfId="0">
      <alignment vertical="top" wrapText="1"/>
    </xf>
    <xf numFmtId="167" fontId="4" fillId="7" borderId="8" applyAlignment="1" pivotButton="0" quotePrefix="0" xfId="0">
      <alignment vertical="top" wrapText="1"/>
    </xf>
    <xf numFmtId="1" fontId="4" fillId="7" borderId="8" applyAlignment="1" pivotButton="0" quotePrefix="0" xfId="0">
      <alignment vertical="top" wrapText="1"/>
    </xf>
    <xf numFmtId="9" fontId="4" fillId="7" borderId="8" applyAlignment="1" pivotButton="0" quotePrefix="0" xfId="0">
      <alignment vertical="top" wrapText="1"/>
    </xf>
    <xf numFmtId="167" fontId="19" fillId="0" borderId="8" applyAlignment="1" pivotButton="0" quotePrefix="0" xfId="0">
      <alignment vertical="top" wrapText="1"/>
    </xf>
    <xf numFmtId="0" fontId="4" fillId="0" borderId="7" pivotButton="0" quotePrefix="0" xfId="0"/>
    <xf numFmtId="167" fontId="4" fillId="0" borderId="8" applyAlignment="1" pivotButton="0" quotePrefix="0" xfId="0">
      <alignment vertical="top" wrapText="1"/>
    </xf>
    <xf numFmtId="9" fontId="19" fillId="0" borderId="8" applyAlignment="1" pivotButton="0" quotePrefix="0" xfId="0">
      <alignment vertical="top" wrapText="1"/>
    </xf>
    <xf numFmtId="164" fontId="19" fillId="0" borderId="8" applyAlignment="1" pivotButton="0" quotePrefix="0" xfId="0">
      <alignment vertical="top" wrapText="1"/>
    </xf>
    <xf numFmtId="3" fontId="4" fillId="0" borderId="8" applyAlignment="1" pivotButton="0" quotePrefix="0" xfId="0">
      <alignment vertical="top" wrapText="1"/>
    </xf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zoom.us/pricing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tabSelected="1" topLeftCell="A3" workbookViewId="0">
      <selection activeCell="B6" sqref="B6"/>
    </sheetView>
  </sheetViews>
  <sheetFormatPr baseColWidth="8" defaultRowHeight="15"/>
  <cols>
    <col width="42.28515625" customWidth="1" min="1" max="1"/>
    <col width="95" customWidth="1" style="37" min="2" max="2"/>
    <col width="59.85546875" customWidth="1" style="37" min="3" max="3"/>
  </cols>
  <sheetData>
    <row r="1">
      <c r="A1" s="47" t="inlineStr">
        <is>
          <t>Topic</t>
        </is>
      </c>
    </row>
    <row r="2">
      <c r="A2" s="47" t="inlineStr">
        <is>
          <t>Title</t>
        </is>
      </c>
      <c r="B2" s="47" t="inlineStr">
        <is>
          <t>Promise statement</t>
        </is>
      </c>
      <c r="C2" s="54" t="n"/>
      <c r="D2" s="54" t="n"/>
      <c r="E2" s="54" t="n"/>
      <c r="F2" s="54" t="n"/>
      <c r="G2" s="54" t="n"/>
      <c r="H2" s="55" t="n"/>
    </row>
    <row r="3" ht="23.25" customHeight="1">
      <c r="A3" s="50" t="inlineStr">
        <is>
          <t>Think Like a CTO: Build, Buy or Partner?</t>
        </is>
      </c>
      <c r="B3" s="50" t="inlineStr">
        <is>
          <t>In 45 minutes, learn the 5 questions a CTO asks before building, buying or outsourcing any piece of tech.</t>
        </is>
      </c>
      <c r="C3" s="54" t="n"/>
      <c r="D3" s="54" t="n"/>
      <c r="E3" s="54" t="n"/>
      <c r="F3" s="54" t="n"/>
      <c r="G3" s="54" t="n"/>
      <c r="H3" s="55" t="n"/>
    </row>
    <row r="4">
      <c r="A4" s="34" t="n"/>
      <c r="B4" s="53" t="inlineStr">
        <is>
          <t>Include</t>
        </is>
      </c>
      <c r="C4" s="53" t="inlineStr">
        <is>
          <t>Exclude</t>
        </is>
      </c>
    </row>
    <row r="5">
      <c r="A5" s="35" t="inlineStr">
        <is>
          <t>Experience</t>
        </is>
      </c>
      <c r="B5" s="56" t="inlineStr">
        <is>
          <t>3–15 years of total experience (pilot: wider net)</t>
        </is>
      </c>
      <c r="C5" s="56" t="inlineStr">
        <is>
          <t>Freshers and students; job seekers</t>
        </is>
      </c>
    </row>
    <row r="6" ht="30.75" customHeight="1">
      <c r="A6" s="35" t="inlineStr">
        <is>
          <t>Seniority</t>
        </is>
      </c>
      <c r="B6" s="56" t="inlineStr">
        <is>
          <t>SRE, DevOps, cloud, platform and backend engineers working on cloud, plus their leads and managers</t>
        </is>
      </c>
      <c r="C6" s="56" t="inlineStr">
        <is>
          <t>C-suite (reached separately through direct outreach)</t>
        </is>
      </c>
    </row>
    <row r="7" ht="30.75" customHeight="1">
      <c r="A7" s="35" t="inlineStr">
        <is>
          <t>Company type</t>
        </is>
      </c>
      <c r="B7" s="50" t="inlineStr">
        <is>
          <t>Product and SaaS companies, GCCs, digital-first businesses (fintech, e-commerce, edtech, healthtech), in-house tech teams of enterprises (BFSI, healthcare, retail, manufacturing)</t>
        </is>
      </c>
      <c r="C7" s="50" t="inlineStr">
        <is>
          <t>AWS partners and cloud MSPs (competitors). IT-services / outsourcing firms: CEO decision</t>
        </is>
      </c>
    </row>
    <row r="8">
      <c r="A8" s="35" t="inlineStr">
        <is>
          <t>Company size</t>
        </is>
      </c>
      <c r="B8" s="50" t="inlineStr">
        <is>
          <t>50+ employees (existing MQL gate)</t>
        </is>
      </c>
      <c r="C8" s="50" t="inlineStr">
        <is>
          <t>Under 50 employees</t>
        </is>
      </c>
    </row>
    <row r="9">
      <c r="A9" s="35" t="inlineStr">
        <is>
          <t>Geography</t>
        </is>
      </c>
      <c r="B9" s="50" t="inlineStr">
        <is>
          <t>India: Bengaluru, Hyderabad, Pune, Delhi-NCR, Chennai, Mumbai</t>
        </is>
      </c>
      <c r="C9" s="50" t="inlineStr">
        <is>
          <t>Outside India for this first episode</t>
        </is>
      </c>
    </row>
    <row r="10">
      <c r="A10" s="35" t="inlineStr">
        <is>
          <t>Email</t>
        </is>
      </c>
      <c r="B10" s="50" t="inlineStr">
        <is>
          <t>Business email only</t>
        </is>
      </c>
      <c r="C10" s="50" t="inlineStr">
        <is>
          <t>Gmail, Yahoo, Outlook and other personal domains</t>
        </is>
      </c>
    </row>
    <row r="12">
      <c r="A12" s="34" t="inlineStr">
        <is>
          <t>Platform</t>
        </is>
      </c>
      <c r="B12" s="53" t="inlineStr">
        <is>
          <t>How</t>
        </is>
      </c>
    </row>
    <row r="13">
      <c r="A13" s="35" t="inlineStr">
        <is>
          <t>LinkedIn</t>
        </is>
      </c>
      <c r="B13" s="56" t="inlineStr">
        <is>
          <t>Paused for the pilot (₹2,500 per registration). Job title + years of experience (10–15) + seniority + company size 51+.</t>
        </is>
      </c>
    </row>
    <row r="14" ht="30.75" customHeight="1">
      <c r="A14" s="35" t="inlineStr">
        <is>
          <t>Meta</t>
        </is>
      </c>
      <c r="B14" s="56" t="inlineStr">
        <is>
          <t>Age 24–45. Cloud/DevOps interests, developer interests, and Advantage+ with a lookalike of the email list.</t>
        </is>
      </c>
    </row>
    <row r="15">
      <c r="A15" s="35" t="inlineStr">
        <is>
          <t>Own channels</t>
        </is>
      </c>
      <c r="B15" s="50" t="inlineStr">
        <is>
          <t>Existing email list and contacts,ceo/cto linkedin, employees sharing the invite.</t>
        </is>
      </c>
    </row>
    <row r="16">
      <c r="A16" s="35" t="inlineStr">
        <is>
          <t>Youtube</t>
        </is>
      </c>
      <c r="B16" s="57" t="inlineStr">
        <is>
          <t>Demand Gen VSL ads: custom segments for Kubernetes, Terraform, AWS DevOps, SRE searches; Indian DevOps channels.</t>
        </is>
      </c>
    </row>
    <row r="17">
      <c r="A17" s="17" t="inlineStr">
        <is>
          <t>Funnel stage</t>
        </is>
      </c>
      <c r="B17" s="17" t="inlineStr">
        <is>
          <t>Conservative</t>
        </is>
      </c>
    </row>
    <row r="18">
      <c r="A18" s="58" t="inlineStr">
        <is>
          <t>Live attendees (expected from 200 registrations)</t>
        </is>
      </c>
      <c r="B18" s="59">
        <f>Funnel!B8</f>
        <v>50.0</v>
      </c>
    </row>
    <row r="19">
      <c r="A19" s="46" t="inlineStr">
        <is>
          <t>TNC Landing Page Best Practices: Video Clips, Speaker USPs, Tracking, and Retargeting</t>
        </is>
      </c>
    </row>
    <row r="21">
      <c r="A21" s="43" t="inlineStr">
        <is>
          <t>Form Question in lead form : Need to discuss this----comapny mail id, name number</t>
        </is>
      </c>
    </row>
    <row r="22">
      <c r="A22" s="17" t="inlineStr">
        <is>
          <t>date and time</t>
        </is>
      </c>
    </row>
    <row r="23">
      <c r="A23" t="inlineStr">
        <is>
          <t>for eg : 29 oct Sat 11:00 AM</t>
        </is>
      </c>
    </row>
    <row r="25">
      <c r="A25" s="17" t="inlineStr">
        <is>
          <t>Platform</t>
        </is>
      </c>
      <c r="B25" s="42" t="inlineStr">
        <is>
          <t>https://zoom.us/pricing</t>
        </is>
      </c>
    </row>
    <row r="26">
      <c r="A26" t="inlineStr">
        <is>
          <t>Price</t>
        </is>
      </c>
      <c r="B26" s="37" t="inlineStr">
        <is>
          <t>INR 1580/- per user per month</t>
        </is>
      </c>
    </row>
    <row r="27">
      <c r="A27" s="40" t="inlineStr">
        <is>
          <t>Duration / Participants</t>
        </is>
      </c>
      <c r="B27" s="44" t="inlineStr">
        <is>
          <t>30 hours, 100 participants per meeting</t>
        </is>
      </c>
    </row>
    <row r="28">
      <c r="A28" t="inlineStr">
        <is>
          <t>Recording</t>
        </is>
      </c>
      <c r="B28" s="41" t="inlineStr">
        <is>
          <t>Local &amp; 10 GB cloud (per license)</t>
        </is>
      </c>
    </row>
    <row r="29">
      <c r="A29" s="41" t="inlineStr">
        <is>
          <t>Mail</t>
        </is>
      </c>
      <c r="B29" s="37" t="inlineStr">
        <is>
          <t>Zoom Mail and Calendar in the Zoom app</t>
        </is>
      </c>
    </row>
    <row r="30" ht="30.75" customHeight="1">
      <c r="A30" s="41" t="inlineStr">
        <is>
          <t>Clips</t>
        </is>
      </c>
      <c r="B30" s="37" t="inlineStr">
        <is>
          <t>Effortlessly create, edit, and share short videos. Stored clips are easily discoverable, boosting engagement / Unlimited</t>
        </is>
      </c>
    </row>
  </sheetData>
  <mergeCells count="2">
    <mergeCell ref="B3:H3"/>
    <mergeCell ref="B2:H2"/>
  </mergeCells>
  <hyperlinks>
    <hyperlink xmlns:r="http://schemas.openxmlformats.org/officeDocument/2006/relationships" ref="B25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FFB42A"/>
    <outlinePr summaryBelow="1" summaryRight="1"/>
    <pageSetUpPr fitToPage="1"/>
  </sheetPr>
  <dimension ref="A1:L14"/>
  <sheetViews>
    <sheetView showGridLines="0" workbookViewId="0">
      <selection activeCell="H4" sqref="H4"/>
    </sheetView>
  </sheetViews>
  <sheetFormatPr baseColWidth="8" defaultRowHeight="14.45"/>
  <cols>
    <col width="10.85546875" customWidth="1" min="1" max="1"/>
    <col width="52" customWidth="1" min="2" max="2"/>
    <col width="12" customWidth="1" min="3" max="7"/>
    <col width="10" customWidth="1" min="8" max="8"/>
    <col width="42" customWidth="1" min="9" max="9"/>
    <col width="28" customWidth="1" min="10" max="10"/>
    <col width="22" customWidth="1" min="11" max="11"/>
    <col width="36" customWidth="1" min="12" max="12"/>
  </cols>
  <sheetData>
    <row r="1" ht="18.6" customHeight="1">
      <c r="A1" s="1" t="inlineStr">
        <is>
          <t>Topic options (1 = weak, 5 = strong)</t>
        </is>
      </c>
    </row>
    <row r="2">
      <c r="A2" s="6" t="inlineStr">
        <is>
          <t>Weights</t>
        </is>
      </c>
      <c r="C2" s="7" t="n">
        <v>0.3</v>
      </c>
      <c r="D2" s="7" t="n">
        <v>0.2</v>
      </c>
      <c r="E2" s="7" t="n">
        <v>0.25</v>
      </c>
      <c r="F2" s="7" t="n">
        <v>0.15</v>
      </c>
      <c r="G2" s="7" t="n">
        <v>0.1</v>
      </c>
      <c r="H2" s="8">
        <f>SUM(C2:G2)</f>
        <v>1.0</v>
      </c>
    </row>
    <row r="3" ht="29.1" customHeight="1">
      <c r="A3" s="53" t="inlineStr">
        <is>
          <t>#</t>
        </is>
      </c>
      <c r="B3" s="53" t="inlineStr">
        <is>
          <t>Topic</t>
        </is>
      </c>
      <c r="C3" s="53" t="inlineStr">
        <is>
          <t>Audience pull</t>
        </is>
      </c>
      <c r="D3" s="53" t="inlineStr">
        <is>
          <t>Fits current deck</t>
        </is>
      </c>
      <c r="E3" s="53" t="inlineStr">
        <is>
          <t>Sales intel</t>
        </is>
      </c>
      <c r="F3" s="53" t="inlineStr">
        <is>
          <t>Not crowded</t>
        </is>
      </c>
      <c r="G3" s="53" t="inlineStr">
        <is>
          <t>Easy to prepare</t>
        </is>
      </c>
      <c r="H3" s="53" t="inlineStr">
        <is>
          <t>Score</t>
        </is>
      </c>
      <c r="I3" s="53" t="inlineStr">
        <is>
          <t>Promise to the attendee</t>
        </is>
      </c>
      <c r="J3" s="53" t="inlineStr">
        <is>
          <t>Who it pulls</t>
        </is>
      </c>
      <c r="K3" s="53" t="inlineStr">
        <is>
          <t>Speakers</t>
        </is>
      </c>
      <c r="L3" s="53" t="inlineStr">
        <is>
          <t>Main risk</t>
        </is>
      </c>
    </row>
    <row r="4" ht="29.1" customHeight="1">
      <c r="A4" s="9" t="inlineStr">
        <is>
          <t>1</t>
        </is>
      </c>
      <c r="B4" s="50" t="inlineStr">
        <is>
          <t>Think Like a CTO: The Top-Down Lens for Tech Decisions</t>
        </is>
      </c>
      <c r="C4" s="10" t="n">
        <v>4</v>
      </c>
      <c r="D4" s="10" t="n">
        <v>5</v>
      </c>
      <c r="E4" s="10" t="n">
        <v>2</v>
      </c>
      <c r="F4" s="10" t="n">
        <v>4</v>
      </c>
      <c r="G4" s="10" t="n">
        <v>5</v>
      </c>
      <c r="H4" s="11">
        <f>ROUND(SUMPRODUCT(C4:G4,$C$2:$G$2),2)</f>
        <v>3.8</v>
      </c>
      <c r="I4" s="50" t="inlineStr">
        <is>
          <t>Learn to see a business problem from 10,000 feet before you pick a tool.</t>
        </is>
      </c>
      <c r="J4" s="50" t="inlineStr">
        <is>
          <t>Managers who want to grow into leadership</t>
        </is>
      </c>
      <c r="K4" s="50" t="inlineStr">
        <is>
          <t>CEO + CTO</t>
        </is>
      </c>
      <c r="L4" s="50" t="inlineStr">
        <is>
          <t>Feels like a leadership talk; pulls career-advice seekers, not buyers</t>
        </is>
      </c>
    </row>
    <row r="5" ht="29.1" customHeight="1">
      <c r="A5" s="12" t="inlineStr">
        <is>
          <t>2</t>
        </is>
      </c>
      <c r="B5" s="13" t="inlineStr">
        <is>
          <t>Build, Buy or Partner: How a CTO Decides What Not to Run In-House</t>
        </is>
      </c>
      <c r="C5" s="14" t="n">
        <v>4</v>
      </c>
      <c r="D5" s="14" t="n">
        <v>4</v>
      </c>
      <c r="E5" s="14" t="n">
        <v>5</v>
      </c>
      <c r="F5" s="14" t="n">
        <v>5</v>
      </c>
      <c r="G5" s="14" t="n">
        <v>4</v>
      </c>
      <c r="H5" s="15">
        <f>ROUND(SUMPRODUCT(C5:G5,$C$2:$G$2),2)</f>
        <v>4.4</v>
      </c>
      <c r="I5" s="50" t="inlineStr">
        <is>
          <t>Get the 5 questions a CTO asks before building, buying or outsourcing anything.</t>
        </is>
      </c>
      <c r="J5" s="50" t="inlineStr">
        <is>
          <t>Managers who own vendors, cloud and team capacity</t>
        </is>
      </c>
      <c r="K5" s="50" t="inlineStr">
        <is>
          <t>CTO + CEO, optional customer guest</t>
        </is>
      </c>
      <c r="L5" s="50" t="inlineStr">
        <is>
          <t>Needs real examples, or it sounds like an MSP pitch</t>
        </is>
      </c>
    </row>
    <row r="6" ht="30.75" customHeight="1">
      <c r="A6" s="9" t="inlineStr">
        <is>
          <t>3</t>
        </is>
      </c>
      <c r="B6" s="50" t="inlineStr">
        <is>
          <t>Your Cloud Bill, Read Like a CTO: A Live Bill Teardown</t>
        </is>
      </c>
      <c r="C6" s="10" t="n">
        <v>4</v>
      </c>
      <c r="D6" s="10" t="n">
        <v>3</v>
      </c>
      <c r="E6" s="10" t="n">
        <v>5</v>
      </c>
      <c r="F6" s="10" t="n">
        <v>4</v>
      </c>
      <c r="G6" s="10" t="n">
        <v>3</v>
      </c>
      <c r="H6" s="11">
        <f>ROUND(SUMPRODUCT(C6:G6,$C$2:$G$2),2)</f>
        <v>3.95</v>
      </c>
      <c r="I6" s="50" t="inlineStr">
        <is>
          <t>See a real cloud bill taken apart live, and where the money leaks.</t>
        </is>
      </c>
      <c r="J6" s="50" t="inlineStr">
        <is>
          <t>DevOps, architects, anyone blamed for the bill</t>
        </is>
      </c>
      <c r="K6" s="50" t="inlineStr">
        <is>
          <t>CTO + cloud cost engineer</t>
        </is>
      </c>
      <c r="L6" s="50" t="inlineStr">
        <is>
          <t>Needs a real, anonymised bill with permission</t>
        </is>
      </c>
    </row>
    <row r="7" ht="29.1" customHeight="1">
      <c r="A7" s="9" t="inlineStr">
        <is>
          <t>4</t>
        </is>
      </c>
      <c r="B7" s="50" t="inlineStr">
        <is>
          <t>Why AI Pilots Never Ship: The CTO's Path from POC to Production</t>
        </is>
      </c>
      <c r="C7" s="10" t="n">
        <v>5</v>
      </c>
      <c r="D7" s="10" t="n">
        <v>3</v>
      </c>
      <c r="E7" s="10" t="n">
        <v>3</v>
      </c>
      <c r="F7" s="10" t="n">
        <v>1</v>
      </c>
      <c r="G7" s="10" t="n">
        <v>3</v>
      </c>
      <c r="H7" s="11">
        <f>ROUND(SUMPRODUCT(C7:G7,$C$2:$G$2),2)</f>
        <v>3.3</v>
      </c>
      <c r="I7" s="50" t="inlineStr">
        <is>
          <t>Why most AI pilots stall, and the CTO checklist to get one into production.</t>
        </is>
      </c>
      <c r="J7" s="50" t="inlineStr">
        <is>
          <t>Everyone; biggest pull of the five</t>
        </is>
      </c>
      <c r="K7" s="50" t="inlineStr">
        <is>
          <t>CTO + AI engineer</t>
        </is>
      </c>
      <c r="L7" s="50" t="inlineStr">
        <is>
          <t>Most crowded topic; attracts learners and job seekers</t>
        </is>
      </c>
    </row>
    <row r="8" ht="29.1" customHeight="1">
      <c r="A8" s="9" t="inlineStr">
        <is>
          <t>5</t>
        </is>
      </c>
      <c r="B8" s="50" t="inlineStr">
        <is>
          <t>Who Touches Your Data? Vendor Risk and DPDP for Tech Leaders</t>
        </is>
      </c>
      <c r="C8" s="10" t="n">
        <v>3</v>
      </c>
      <c r="D8" s="10" t="n">
        <v>2</v>
      </c>
      <c r="E8" s="10" t="n">
        <v>4</v>
      </c>
      <c r="F8" s="10" t="n">
        <v>5</v>
      </c>
      <c r="G8" s="10" t="n">
        <v>2</v>
      </c>
      <c r="H8" s="11">
        <f>ROUND(SUMPRODUCT(C8:G8,$C$2:$G$2),2)</f>
        <v>3.25</v>
      </c>
      <c r="I8" s="50" t="inlineStr">
        <is>
          <t>Map who handles your data, and what the DPDP Act makes you liable for.</t>
        </is>
      </c>
      <c r="J8" s="50" t="inlineStr">
        <is>
          <t>Heads of IT, security and compliance</t>
        </is>
      </c>
      <c r="K8" s="50" t="inlineStr">
        <is>
          <t>CTO + privacy lawyer</t>
        </is>
      </c>
      <c r="L8" s="50" t="inlineStr">
        <is>
          <t>Needs a lawyer on stage; Zarthi cannot give legal advice</t>
        </is>
      </c>
    </row>
    <row r="10">
      <c r="A10" s="2" t="inlineStr">
        <is>
          <t>Title and promise options for Topic 2 (pick one of each)</t>
        </is>
      </c>
    </row>
    <row r="11">
      <c r="A11" s="53" t="n"/>
      <c r="B11" s="53" t="inlineStr">
        <is>
          <t>Title</t>
        </is>
      </c>
      <c r="C11" s="53" t="inlineStr">
        <is>
          <t>Promise statement</t>
        </is>
      </c>
      <c r="D11" s="54" t="n"/>
      <c r="E11" s="54" t="n"/>
      <c r="F11" s="54" t="n"/>
      <c r="G11" s="54" t="n"/>
      <c r="H11" s="54" t="n"/>
      <c r="I11" s="55" t="n"/>
    </row>
    <row r="12">
      <c r="A12" s="9" t="inlineStr">
        <is>
          <t>A *</t>
        </is>
      </c>
      <c r="B12" s="50" t="inlineStr">
        <is>
          <t>Think Like a CTO: Build, Buy or Partner?</t>
        </is>
      </c>
      <c r="C12" s="50" t="inlineStr">
        <is>
          <t>In 45 minutes, learn the 5 questions a CTO asks before building, buying or outsourcing any piece of tech.</t>
        </is>
      </c>
      <c r="D12" s="54" t="n"/>
      <c r="E12" s="54" t="n"/>
      <c r="F12" s="54" t="n"/>
      <c r="G12" s="54" t="n"/>
      <c r="H12" s="54" t="n"/>
      <c r="I12" s="55" t="n"/>
    </row>
    <row r="13">
      <c r="A13" s="9" t="inlineStr">
        <is>
          <t>B</t>
        </is>
      </c>
      <c r="B13" s="50" t="inlineStr">
        <is>
          <t>Own It or Hand It Off? The CTO's Decision Framework</t>
        </is>
      </c>
      <c r="C13" s="50" t="inlineStr">
        <is>
          <t>Walk away with a checklist for what your team should own, and what it should hand to a partner.</t>
        </is>
      </c>
      <c r="D13" s="54" t="n"/>
      <c r="E13" s="54" t="n"/>
      <c r="F13" s="54" t="n"/>
      <c r="G13" s="54" t="n"/>
      <c r="H13" s="54" t="n"/>
      <c r="I13" s="55" t="n"/>
    </row>
    <row r="14">
      <c r="A14" s="9" t="inlineStr">
        <is>
          <t>C</t>
        </is>
      </c>
      <c r="B14" s="50" t="inlineStr">
        <is>
          <t>The Decisions That Make a CTO: Build vs. Buy vs. Partner</t>
        </is>
      </c>
      <c r="C14" s="50" t="inlineStr">
        <is>
          <t>Watch a CTO with 15 years of experience (ex-Microsoft) turn a real business problem into a build-or-partner call, step by step.</t>
        </is>
      </c>
      <c r="D14" s="54" t="n"/>
      <c r="E14" s="54" t="n"/>
      <c r="F14" s="54" t="n"/>
      <c r="G14" s="54" t="n"/>
      <c r="H14" s="54" t="n"/>
      <c r="I14" s="55" t="n"/>
    </row>
  </sheetData>
  <mergeCells count="4">
    <mergeCell ref="C14:I14"/>
    <mergeCell ref="C11:I11"/>
    <mergeCell ref="C13:I13"/>
    <mergeCell ref="C12:I12"/>
  </mergeCells>
  <pageMargins left="0.75" right="0.75" top="1" bottom="1" header="0.5" footer="0.5"/>
  <pageSetup orientation="landscape" fitToHeight="0"/>
</worksheet>
</file>

<file path=xl/worksheets/sheet3.xml><?xml version="1.0" encoding="utf-8"?>
<worksheet xmlns="http://schemas.openxmlformats.org/spreadsheetml/2006/main">
  <sheetPr>
    <tabColor rgb="FF262626"/>
    <outlinePr summaryBelow="1" summaryRight="1"/>
    <pageSetUpPr fitToPage="1"/>
  </sheetPr>
  <dimension ref="A1:C25"/>
  <sheetViews>
    <sheetView showGridLines="0" workbookViewId="0">
      <selection activeCell="A3" sqref="A3:C8"/>
    </sheetView>
  </sheetViews>
  <sheetFormatPr baseColWidth="8" defaultRowHeight="14.45"/>
  <cols>
    <col width="35.7109375" customWidth="1" min="1" max="1"/>
    <col width="55" customWidth="1" min="2" max="2"/>
    <col width="50" customWidth="1" min="3" max="3"/>
    <col width="13.7109375" customWidth="1" min="4" max="4"/>
  </cols>
  <sheetData>
    <row r="1">
      <c r="A1" s="2" t="inlineStr">
        <is>
          <t>Audience definition</t>
        </is>
      </c>
    </row>
    <row r="2" ht="15" customHeight="1">
      <c r="A2" s="53" t="n"/>
      <c r="B2" s="53" t="inlineStr">
        <is>
          <t>Include</t>
        </is>
      </c>
      <c r="C2" s="53" t="inlineStr">
        <is>
          <t>Exclude</t>
        </is>
      </c>
    </row>
    <row r="3">
      <c r="A3" s="4" t="inlineStr">
        <is>
          <t>Experience</t>
        </is>
      </c>
      <c r="B3" s="56" t="inlineStr">
        <is>
          <t>3–15 years of total experience (pilot: wider net)</t>
        </is>
      </c>
      <c r="C3" s="50" t="inlineStr">
        <is>
          <t>Freshers and people under 8 years; students; job seekers</t>
        </is>
      </c>
    </row>
    <row r="4" ht="29.1" customHeight="1">
      <c r="A4" s="4" t="inlineStr">
        <is>
          <t>Seniority</t>
        </is>
      </c>
      <c r="B4" s="56" t="inlineStr">
        <is>
          <t>Hands-on engineers (SRE, DevOps, cloud, platform, backend developers) plus their leads and managers</t>
        </is>
      </c>
      <c r="C4" s="56" t="inlineStr">
        <is>
          <t>Students and freshers; C-suite (reached separately through direct outreach)</t>
        </is>
      </c>
    </row>
    <row r="5" ht="43.5" customHeight="1">
      <c r="A5" s="4" t="inlineStr">
        <is>
          <t>Company type</t>
        </is>
      </c>
      <c r="B5" s="50" t="inlineStr">
        <is>
          <t>Product and SaaS companies, GCCs, digital-first businesses (fintech, e-commerce, edtech, healthtech), in-house tech teams of enterprises (BFSI, healthcare, retail, manufacturing)</t>
        </is>
      </c>
      <c r="C5" s="50" t="inlineStr">
        <is>
          <t>AWS partners and cloud MSPs (competitors). IT-services / outsourcing firms: CEO decision</t>
        </is>
      </c>
    </row>
    <row r="6">
      <c r="A6" s="4" t="inlineStr">
        <is>
          <t>Company size</t>
        </is>
      </c>
      <c r="B6" s="50" t="inlineStr">
        <is>
          <t>50+ employees (existing MQL gate)</t>
        </is>
      </c>
      <c r="C6" s="50" t="inlineStr">
        <is>
          <t>Under 50 employees</t>
        </is>
      </c>
    </row>
    <row r="7" ht="30.75" customHeight="1">
      <c r="A7" s="4" t="inlineStr">
        <is>
          <t>Geography</t>
        </is>
      </c>
      <c r="B7" s="50" t="inlineStr">
        <is>
          <t>India: Bengaluru, Hyderabad, Pune, Delhi-NCR, Chennai, Mumbai, tier 2 cities</t>
        </is>
      </c>
      <c r="C7" s="50" t="inlineStr">
        <is>
          <t>Outside India for this first episode</t>
        </is>
      </c>
    </row>
    <row r="8">
      <c r="A8" s="4" t="inlineStr">
        <is>
          <t>Email</t>
        </is>
      </c>
      <c r="B8" s="56" t="inlineStr">
        <is>
          <t>Pilot: any email, but company name is required (CEO decision 11)</t>
        </is>
      </c>
      <c r="C8" s="50" t="inlineStr">
        <is>
          <t>Gmail, Yahoo, Outlook and other personal domains</t>
        </is>
      </c>
    </row>
    <row r="10">
      <c r="A10" s="2" t="inlineStr">
        <is>
          <t>Job titles to target</t>
        </is>
      </c>
    </row>
    <row r="11">
      <c r="A11" s="53" t="inlineStr">
        <is>
          <t>Group</t>
        </is>
      </c>
      <c r="B11" s="53" t="inlineStr">
        <is>
          <t>Titles</t>
        </is>
      </c>
    </row>
    <row r="12" ht="43.5" customHeight="1">
      <c r="A12" s="4" t="inlineStr">
        <is>
          <t>Engineering leadership</t>
        </is>
      </c>
      <c r="B12" s="50" t="inlineStr">
        <is>
          <t>Engineering Manager, Senior Engineering Manager, Associate Director – Engineering, Head of Engineering (mid-size companies)</t>
        </is>
      </c>
    </row>
    <row r="13" ht="29.1" customHeight="1">
      <c r="A13" s="4" t="inlineStr">
        <is>
          <t>Architecture</t>
        </is>
      </c>
      <c r="B13" s="50" t="inlineStr">
        <is>
          <t>Solutions Architect, Cloud Architect, Technical Architect, Enterprise Architect, Principal / Staff Engineer</t>
        </is>
      </c>
    </row>
    <row r="14" ht="29.1" customHeight="1">
      <c r="A14" s="4" t="inlineStr">
        <is>
          <t>Cloud and operations</t>
        </is>
      </c>
      <c r="B14" s="50" t="inlineStr">
        <is>
          <t>DevOps Lead / Manager, Platform Engineering Lead, SRE Manager, Head of Infrastructure, Cloud Operations Manager</t>
        </is>
      </c>
    </row>
    <row r="15" ht="29.1" customHeight="1">
      <c r="A15" s="4" t="inlineStr">
        <is>
          <t>In-house IT</t>
        </is>
      </c>
      <c r="B15" s="50" t="inlineStr">
        <is>
          <t>IT Manager, Senior IT Manager, IT Infrastructure Manager, Deputy General Manager – IT</t>
        </is>
      </c>
    </row>
    <row r="16" ht="29.1" customHeight="1">
      <c r="A16" s="4" t="inlineStr">
        <is>
          <t>Delivery and product</t>
        </is>
      </c>
      <c r="B16" s="50" t="inlineStr">
        <is>
          <t>Technical Program Manager, Delivery Head, Technology Product Manager</t>
        </is>
      </c>
    </row>
    <row r="17">
      <c r="A17" s="4" t="inlineStr">
        <is>
          <t>Hands-on cloud engineers (pilot)</t>
        </is>
      </c>
      <c r="B17" s="56" t="inlineStr">
        <is>
          <t>SRE / Site Reliability Engineer, DevOps Engineer, Cloud Engineer, Platform Engineer, Infrastructure Engineer, Kubernetes Engineer, Backend / Software Developer working on AWS, Azure or GCP</t>
        </is>
      </c>
    </row>
    <row r="18">
      <c r="A18" s="2" t="inlineStr">
        <is>
          <t>How we reach them</t>
        </is>
      </c>
    </row>
    <row r="19">
      <c r="A19" s="53" t="inlineStr">
        <is>
          <t>Platform</t>
        </is>
      </c>
      <c r="B19" s="53" t="inlineStr">
        <is>
          <t>How</t>
        </is>
      </c>
    </row>
    <row r="20" ht="29.1" customHeight="1">
      <c r="A20" s="4" t="inlineStr">
        <is>
          <t>LinkedIn</t>
        </is>
      </c>
      <c r="B20" s="56" t="inlineStr">
        <is>
          <t>Paused for the pilot (₹2,500 per registration). Targeting kept for later: job title + 10–15 years + seniority + company size 51+.</t>
        </is>
      </c>
    </row>
    <row r="21" ht="29.1" customHeight="1">
      <c r="A21" s="4" t="inlineStr">
        <is>
          <t>Meta</t>
        </is>
      </c>
      <c r="B21" s="56" t="inlineStr">
        <is>
          <t>Age 24–45. 3 ad sets: cloud/DevOps interests, developer interests, Advantage+ with a 1% lookalike of the email list (Ads Plan tab).</t>
        </is>
      </c>
    </row>
    <row r="22" ht="29.1" customHeight="1">
      <c r="A22" s="4" t="inlineStr">
        <is>
          <t>Own channels</t>
        </is>
      </c>
      <c r="B22" s="50" t="inlineStr">
        <is>
          <t>Existing email list and contacts, CEO and CTO LinkedIn posts, employees sharing the invite.</t>
        </is>
      </c>
    </row>
    <row r="23">
      <c r="A23" s="4" t="inlineStr">
        <is>
          <t>YouTube</t>
        </is>
      </c>
      <c r="B23" s="56" t="inlineStr">
        <is>
          <t>Demand Gen: custom segments of people who searched Kubernetes, Terraform, AWS DevOps, SRE, CI/CD; Indian DevOps and cloud channels.</t>
        </is>
      </c>
    </row>
    <row r="24">
      <c r="A24" s="4" t="inlineStr">
        <is>
          <t>Google Search</t>
        </is>
      </c>
      <c r="B24" s="56" t="inlineStr">
        <is>
          <t>Phrase + exact keywords on cloud architecture, DevOps/SRE best practices and build vs buy. Negatives for jobs and courses.</t>
        </is>
      </c>
    </row>
    <row r="25">
      <c r="A25" s="60" t="inlineStr">
        <is>
          <t>Green = changed or added on 4-Oct.</t>
        </is>
      </c>
    </row>
  </sheetData>
  <pageMargins left="0.75" right="0.75" top="1" bottom="1" header="0.5" footer="0.5"/>
  <pageSetup orientation="landscape" fitToHeight="0"/>
</worksheet>
</file>

<file path=xl/worksheets/sheet4.xml><?xml version="1.0" encoding="utf-8"?>
<worksheet xmlns="http://schemas.openxmlformats.org/spreadsheetml/2006/main">
  <sheetPr>
    <tabColor rgb="FF262626"/>
    <outlinePr summaryBelow="1" summaryRight="1"/>
    <pageSetUpPr fitToPage="1"/>
  </sheetPr>
  <dimension ref="A1:C20"/>
  <sheetViews>
    <sheetView showGridLines="0" workbookViewId="0">
      <selection activeCell="E14" sqref="E14"/>
    </sheetView>
  </sheetViews>
  <sheetFormatPr baseColWidth="8" defaultRowHeight="14.45"/>
  <cols>
    <col width="40" customWidth="1" min="1" max="1"/>
    <col width="16" customWidth="1" min="2" max="4"/>
    <col width="70" customWidth="1" min="3" max="3"/>
  </cols>
  <sheetData>
    <row r="1" ht="18.6" customHeight="1">
      <c r="A1" s="61" t="inlineStr">
        <is>
          <t>Reverse funnel maths: 200 registrations (cream = assumptions)</t>
        </is>
      </c>
      <c r="B1" s="62" t="n"/>
      <c r="C1" s="62" t="n"/>
    </row>
    <row r="2">
      <c r="A2" s="63" t="inlineStr">
        <is>
          <t>Updated 4-Oct: CEO asked for a mass audience for the pilot batch, so the target is now registrations, not live attendees.</t>
        </is>
      </c>
      <c r="B2" s="62" t="n"/>
      <c r="C2" s="62" t="n"/>
    </row>
    <row r="3" ht="15" customHeight="1">
      <c r="A3" s="64" t="inlineStr">
        <is>
          <t>Funnel stage</t>
        </is>
      </c>
      <c r="B3" s="64" t="inlineStr">
        <is>
          <t>Pilot plan</t>
        </is>
      </c>
      <c r="C3" s="64" t="inlineStr">
        <is>
          <t>Why</t>
        </is>
      </c>
    </row>
    <row r="4" ht="15" customHeight="1">
      <c r="A4" s="65" t="inlineStr">
        <is>
          <t>Registrations (target)</t>
        </is>
      </c>
      <c r="B4" s="66" t="n">
        <v>200</v>
      </c>
      <c r="C4" s="67" t="inlineStr">
        <is>
          <t>CEO target for the pilot batch.</t>
        </is>
      </c>
    </row>
    <row r="5" ht="15" customHeight="1">
      <c r="A5" s="65" t="inlineStr">
        <is>
          <t>Buffer for fake / duplicate sign-ups</t>
        </is>
      </c>
      <c r="B5" s="68" t="n">
        <v>0.1</v>
      </c>
      <c r="C5" s="67" t="inlineStr">
        <is>
          <t>Mass audiences bring some junk entries; plan 10% extra.</t>
        </is>
      </c>
    </row>
    <row r="6" ht="15" customHeight="1">
      <c r="A6" s="65" t="inlineStr">
        <is>
          <t>Registrations to plan for</t>
        </is>
      </c>
      <c r="B6" s="69">
        <f>ROUND(B4*(1+B5),0)</f>
        <v>220.0</v>
      </c>
      <c r="C6" s="67" t="inlineStr">
        <is>
          <t>This is what the budget buys.</t>
        </is>
      </c>
    </row>
    <row r="7" ht="15" customHeight="1">
      <c r="A7" s="65" t="inlineStr">
        <is>
          <t>Show-up rate</t>
        </is>
      </c>
      <c r="B7" s="68" t="n">
        <v>0.25</v>
      </c>
      <c r="C7" s="67" t="inlineStr">
        <is>
          <t>Same as the 22-Sep plan.</t>
        </is>
      </c>
    </row>
    <row r="8" hidden="1" ht="15" customHeight="1">
      <c r="A8" s="65" t="inlineStr">
        <is>
          <t>Expected live attendees</t>
        </is>
      </c>
      <c r="B8" s="69">
        <f>ROUND(B4*B7,0)</f>
        <v>50.0</v>
      </c>
      <c r="C8" s="67" t="inlineStr">
        <is>
          <t>From 200 real registrations. Zoom plan holds 100 per meeting.</t>
        </is>
      </c>
    </row>
    <row r="9" hidden="1" ht="15" customHeight="1">
      <c r="A9" s="65" t="inlineStr">
        <is>
          <t>Landing page conversion</t>
        </is>
      </c>
      <c r="B9" s="68" t="n">
        <v>0.15</v>
      </c>
      <c r="C9" s="67" t="inlineStr">
        <is>
          <t>Same as the 22-Sep plan (VSL page visit → registration).</t>
        </is>
      </c>
    </row>
    <row r="10" hidden="1" ht="15" customHeight="1">
      <c r="A10" s="65" t="inlineStr">
        <is>
          <t>Landing page visits needed</t>
        </is>
      </c>
      <c r="B10" s="69">
        <f>ROUND(B6/B9,0)</f>
        <v>1467.0</v>
      </c>
      <c r="C10" s="67" t="inlineStr"/>
    </row>
    <row r="11" ht="15" customHeight="1">
      <c r="A11" s="65" t="inlineStr">
        <is>
          <t>Ad click-through rate</t>
        </is>
      </c>
      <c r="B11" s="70" t="n">
        <v>0.006</v>
      </c>
      <c r="C11" s="67" t="inlineStr">
        <is>
          <t>Same as the 22-Sep plan. Video ads to a wide audience may do better.</t>
        </is>
      </c>
    </row>
    <row r="12">
      <c r="A12" s="65" t="inlineStr">
        <is>
          <t>Impressions needed</t>
        </is>
      </c>
      <c r="B12" s="69">
        <f>ROUND(B10/B11,-2)</f>
        <v>244500.0</v>
      </c>
      <c r="C12" s="67" t="inlineStr"/>
    </row>
    <row r="13">
      <c r="A13" s="62" t="n"/>
      <c r="B13" s="62" t="n"/>
      <c r="C13" s="62" t="n"/>
    </row>
    <row r="14">
      <c r="A14" s="63" t="inlineStr">
        <is>
          <t>22-Sep plan for comparison: 30 live, 150 registrations, ₹1,20,000 media.</t>
        </is>
      </c>
      <c r="B14" s="62" t="n"/>
      <c r="C14" s="62" t="n"/>
    </row>
    <row r="15">
      <c r="A15" s="62" t="n"/>
      <c r="B15" s="62" t="n"/>
      <c r="C15" s="62" t="n"/>
    </row>
    <row r="16">
      <c r="A16" s="62" t="n"/>
      <c r="B16" s="62" t="n"/>
      <c r="C16" s="62" t="n"/>
    </row>
    <row r="17">
      <c r="A17" s="62" t="n"/>
      <c r="B17" s="62" t="n"/>
      <c r="C17" s="62" t="n"/>
    </row>
    <row r="18">
      <c r="A18" s="62" t="n"/>
      <c r="B18" s="62" t="n"/>
      <c r="C18" s="62" t="n"/>
    </row>
    <row r="19">
      <c r="A19" s="62" t="n"/>
      <c r="B19" s="62" t="n"/>
      <c r="C19" s="62" t="n"/>
    </row>
    <row r="20">
      <c r="A20" s="62" t="n"/>
      <c r="B20" s="62" t="n"/>
      <c r="C20" s="62" t="n"/>
    </row>
  </sheetData>
  <pageMargins left="0.75" right="0.75" top="1" bottom="1" header="0.5" footer="0.5"/>
  <pageSetup orientation="landscape" fitToHeight="0"/>
</worksheet>
</file>

<file path=xl/worksheets/sheet5.xml><?xml version="1.0" encoding="utf-8"?>
<worksheet xmlns="http://schemas.openxmlformats.org/spreadsheetml/2006/main">
  <sheetPr>
    <tabColor rgb="FFFFB42A"/>
    <outlinePr summaryBelow="1" summaryRight="1"/>
    <pageSetUpPr fitToPage="1"/>
  </sheetPr>
  <dimension ref="A1:L45"/>
  <sheetViews>
    <sheetView showGridLines="0" topLeftCell="A8" workbookViewId="0">
      <selection activeCell="C20" sqref="C20"/>
    </sheetView>
  </sheetViews>
  <sheetFormatPr baseColWidth="8" defaultRowHeight="14.45"/>
  <cols>
    <col width="46" customWidth="1" min="1" max="1"/>
    <col width="14" customWidth="1" min="2" max="2"/>
    <col width="14" customWidth="1" min="3" max="3"/>
    <col width="9" customWidth="1" min="4" max="4"/>
    <col width="13" customWidth="1" min="5" max="5"/>
    <col width="16" customWidth="1" min="6" max="6"/>
    <col width="14" customWidth="1" min="7" max="7"/>
    <col width="14" customWidth="1" min="8" max="8"/>
    <col width="14" customWidth="1" min="9" max="9"/>
    <col width="14" customWidth="1" min="10" max="10"/>
    <col width="48" customWidth="1" min="11" max="11"/>
    <col width="48" customWidth="1" min="12" max="12"/>
  </cols>
  <sheetData>
    <row r="1" ht="18.6" customHeight="1">
      <c r="A1" s="61" t="inlineStr">
        <is>
          <t>Budget for 200 registrations (pilot, mass audience)</t>
        </is>
      </c>
      <c r="B1" s="62" t="n"/>
      <c r="C1" s="62" t="n"/>
      <c r="D1" s="62" t="n"/>
      <c r="E1" s="62" t="n"/>
      <c r="F1" s="62" t="n"/>
      <c r="G1" s="62" t="n"/>
      <c r="H1" s="62" t="n"/>
      <c r="I1" s="62" t="n"/>
      <c r="J1" s="62" t="n"/>
      <c r="K1" s="62" t="n"/>
      <c r="L1" s="62" t="n"/>
    </row>
    <row r="2">
      <c r="A2" s="63" t="inlineStr">
        <is>
          <t>Cream = assumption. Meta and LinkedIn CPLs are from the 22-Sep plan; YouTube and Google Search are new estimates.</t>
        </is>
      </c>
      <c r="B2" s="62" t="n"/>
      <c r="C2" s="62" t="n"/>
      <c r="D2" s="62" t="n"/>
      <c r="E2" s="62" t="n"/>
      <c r="F2" s="62" t="n"/>
      <c r="G2" s="62" t="n"/>
      <c r="H2" s="62" t="n"/>
      <c r="I2" s="62" t="n"/>
      <c r="J2" s="62" t="n"/>
      <c r="K2" s="62" t="n"/>
      <c r="L2" s="62" t="n"/>
    </row>
    <row r="3" ht="15" customHeight="1">
      <c r="A3" s="64" t="inlineStr">
        <is>
          <t>Source</t>
        </is>
      </c>
      <c r="B3" s="64" t="inlineStr">
        <is>
          <t>Registrations</t>
        </is>
      </c>
      <c r="C3" s="64" t="inlineStr">
        <is>
          <t>Cost per registration</t>
        </is>
      </c>
      <c r="D3" s="71" t="n"/>
      <c r="E3" s="72" t="n"/>
      <c r="F3" s="64" t="inlineStr">
        <is>
          <t>Media budget (ex-GST)</t>
        </is>
      </c>
      <c r="G3" s="71" t="n"/>
      <c r="H3" s="71" t="n"/>
      <c r="I3" s="71" t="n"/>
      <c r="J3" s="72" t="n"/>
      <c r="K3" s="64" t="inlineStr">
        <is>
          <t>Notes</t>
        </is>
      </c>
      <c r="L3" s="62" t="n"/>
    </row>
    <row r="4" ht="15" customHeight="1">
      <c r="A4" s="67" t="inlineStr">
        <is>
          <t>Own email list + WhatsApp</t>
        </is>
      </c>
      <c r="B4" s="73" t="n">
        <v>15</v>
      </c>
      <c r="C4" s="74" t="n">
        <v>0</v>
      </c>
      <c r="D4" s="71" t="n"/>
      <c r="E4" s="72" t="n"/>
      <c r="F4" s="75">
        <f>B4*C4</f>
        <v>0.0</v>
      </c>
      <c r="G4" s="71" t="n"/>
      <c r="H4" s="71" t="n"/>
      <c r="I4" s="71" t="n"/>
      <c r="J4" s="72" t="n"/>
      <c r="K4" s="67" t="inlineStr">
        <is>
          <t>Free. Invite on Thu 8-Oct, reminder on 20-Oct.</t>
        </is>
      </c>
      <c r="L4" s="62" t="n"/>
    </row>
    <row r="5" ht="15" customHeight="1">
      <c r="A5" s="67" t="inlineStr">
        <is>
          <t>CEO/CTO LinkedIn posts + employee sharing</t>
        </is>
      </c>
      <c r="B5" s="73" t="n">
        <v>15</v>
      </c>
      <c r="C5" s="74" t="n">
        <v>0</v>
      </c>
      <c r="D5" s="71" t="n"/>
      <c r="E5" s="72" t="n"/>
      <c r="F5" s="75">
        <f>B5*C5</f>
        <v>0.0</v>
      </c>
      <c r="G5" s="71" t="n"/>
      <c r="H5" s="71" t="n"/>
      <c r="I5" s="71" t="n"/>
      <c r="J5" s="72" t="n"/>
      <c r="K5" s="67" t="inlineStr">
        <is>
          <t>Free. 2 posts each, every employee shares once.</t>
        </is>
      </c>
      <c r="L5" s="62" t="n"/>
    </row>
    <row r="6" ht="15" customHeight="1">
      <c r="A6" s="67" t="inlineStr">
        <is>
          <t>Meta: new audience (VSL page + instant-form test)</t>
        </is>
      </c>
      <c r="B6" s="73" t="n">
        <v>110</v>
      </c>
      <c r="C6" s="74" t="n">
        <v>700</v>
      </c>
      <c r="D6" s="71" t="n"/>
      <c r="E6" s="72" t="n"/>
      <c r="F6" s="75">
        <f>B6*C6</f>
        <v>77000.0</v>
      </c>
      <c r="G6" s="71" t="n"/>
      <c r="H6" s="71" t="n"/>
      <c r="I6" s="71" t="n"/>
      <c r="J6" s="72" t="n"/>
      <c r="K6" s="67" t="inlineStr">
        <is>
          <t>Main volume engine. ₹700 = your 22-Sep CPL. Wide audience (SRE, DevOps, cloud developers), age 24–45.</t>
        </is>
      </c>
      <c r="L6" s="62" t="n"/>
    </row>
    <row r="7" ht="15" customHeight="1">
      <c r="A7" s="67" t="inlineStr">
        <is>
          <t>Meta: retargeting (VSL viewers, page visitors)</t>
        </is>
      </c>
      <c r="B7" s="73" t="n">
        <v>15</v>
      </c>
      <c r="C7" s="74" t="n">
        <v>400</v>
      </c>
      <c r="D7" s="71" t="n"/>
      <c r="E7" s="72" t="n"/>
      <c r="F7" s="75">
        <f>B7*C7</f>
        <v>6000.0</v>
      </c>
      <c r="G7" s="71" t="n"/>
      <c r="H7" s="71" t="n"/>
      <c r="I7" s="71" t="n"/>
      <c r="J7" s="72" t="n"/>
      <c r="K7" s="67" t="inlineStr">
        <is>
          <t>People who watched 25%+ of the VSL or visited the page. Starts Wed 14-Oct. Estimate.</t>
        </is>
      </c>
      <c r="L7" s="62" t="n"/>
    </row>
    <row r="8" ht="15" customHeight="1">
      <c r="A8" s="67" t="inlineStr">
        <is>
          <t>YouTube: VSL video ads (in-stream, in-feed, Shorts)</t>
        </is>
      </c>
      <c r="B8" s="73" t="n">
        <v>35</v>
      </c>
      <c r="C8" s="74" t="n">
        <v>750</v>
      </c>
      <c r="D8" s="71" t="n"/>
      <c r="E8" s="72" t="n"/>
      <c r="F8" s="75">
        <f>B8*C8</f>
        <v>26250.0</v>
      </c>
      <c r="G8" s="71" t="n"/>
      <c r="H8" s="71" t="n"/>
      <c r="I8" s="71" t="n"/>
      <c r="J8" s="72" t="n"/>
      <c r="K8" s="67" t="inlineStr">
        <is>
          <t>Demand Gen campaign aimed at registrations. Estimate.</t>
        </is>
      </c>
      <c r="L8" s="62" t="n"/>
    </row>
    <row r="9">
      <c r="A9" s="67" t="inlineStr">
        <is>
          <t>Google Search</t>
        </is>
      </c>
      <c r="B9" s="73" t="n">
        <v>30</v>
      </c>
      <c r="C9" s="74" t="n">
        <v>950</v>
      </c>
      <c r="D9" s="71" t="n"/>
      <c r="E9" s="72" t="n"/>
      <c r="F9" s="75">
        <f>B9*C9</f>
        <v>28500.0</v>
      </c>
      <c r="G9" s="71" t="n"/>
      <c r="H9" s="71" t="n"/>
      <c r="I9" s="71" t="n"/>
      <c r="J9" s="72" t="n"/>
      <c r="K9" s="67" t="inlineStr">
        <is>
          <t>High intent but low search volume for webinar terms in India. Estimate.</t>
        </is>
      </c>
      <c r="L9" s="62" t="n"/>
    </row>
    <row r="10">
      <c r="A10" s="67" t="inlineStr">
        <is>
          <t>LinkedIn (Lead Gen Form)</t>
        </is>
      </c>
      <c r="B10" s="73" t="n">
        <v>0</v>
      </c>
      <c r="C10" s="74" t="n">
        <v>2500</v>
      </c>
      <c r="D10" s="71" t="n"/>
      <c r="E10" s="72" t="n"/>
      <c r="F10" s="75">
        <f>B10*C10</f>
        <v>0.0</v>
      </c>
      <c r="G10" s="71" t="n"/>
      <c r="H10" s="71" t="n"/>
      <c r="I10" s="71" t="n"/>
      <c r="J10" s="72" t="n"/>
      <c r="K10" s="67" t="inlineStr">
        <is>
          <t>Paused for the pilot: ₹2,500 per registration is too costly for a mass target. Type a number to switch it on.</t>
        </is>
      </c>
      <c r="L10" s="62" t="n"/>
    </row>
    <row r="11">
      <c r="A11" s="76" t="inlineStr">
        <is>
          <t>Total</t>
        </is>
      </c>
      <c r="B11" s="77">
        <f>SUM(B4:B10)</f>
        <v>220.0</v>
      </c>
      <c r="C11" s="78">
        <f>IFERROR(F11/(B11-B4-B5),0)</f>
        <v>725.0</v>
      </c>
      <c r="D11" s="71" t="n"/>
      <c r="E11" s="72" t="n"/>
      <c r="F11" s="78">
        <f>SUM(F4:F10)</f>
        <v>137750.0</v>
      </c>
      <c r="G11" s="71" t="n"/>
      <c r="H11" s="71" t="n"/>
      <c r="I11" s="71" t="n"/>
      <c r="J11" s="72" t="n"/>
      <c r="K11" s="79" t="inlineStr">
        <is>
          <t>Cost per registration here = average across paid sources only.</t>
        </is>
      </c>
      <c r="L11" s="62" t="n"/>
    </row>
    <row r="12">
      <c r="A12" s="67" t="inlineStr">
        <is>
          <t>Check against the funnel</t>
        </is>
      </c>
      <c r="B12" s="65" t="str">
        <f>IF(B11&gt;=Funnel!B6,"OK: covers "&amp;Funnel!B6,"Short by "&amp;(Funnel!B6-B11))</f>
        <v>OK: covers 220</v>
      </c>
      <c r="C12" s="71" t="n"/>
      <c r="D12" s="71" t="n"/>
      <c r="E12" s="71" t="n"/>
      <c r="F12" s="71" t="n"/>
      <c r="G12" s="71" t="n"/>
      <c r="H12" s="71" t="n"/>
      <c r="I12" s="71" t="n"/>
      <c r="J12" s="72" t="n"/>
      <c r="K12" s="62" t="n"/>
      <c r="L12" s="62" t="n"/>
    </row>
    <row r="13">
      <c r="A13" s="62" t="n"/>
      <c r="B13" s="62" t="n"/>
      <c r="C13" s="62" t="n"/>
      <c r="D13" s="62" t="n"/>
      <c r="E13" s="62" t="n"/>
      <c r="F13" s="62" t="n"/>
      <c r="G13" s="62" t="n"/>
      <c r="H13" s="62" t="n"/>
      <c r="I13" s="62" t="n"/>
      <c r="J13" s="62" t="n"/>
      <c r="K13" s="62" t="n"/>
      <c r="L13" s="62" t="n"/>
    </row>
    <row r="14">
      <c r="A14" s="80" t="inlineStr">
        <is>
          <t>Full budget</t>
        </is>
      </c>
      <c r="B14" s="62" t="n"/>
      <c r="C14" s="62" t="n"/>
      <c r="D14" s="62" t="n"/>
      <c r="E14" s="62" t="n"/>
      <c r="F14" s="62" t="n"/>
      <c r="G14" s="62" t="n"/>
      <c r="H14" s="62" t="n"/>
      <c r="I14" s="62" t="n"/>
      <c r="J14" s="62" t="n"/>
      <c r="K14" s="62" t="n"/>
      <c r="L14" s="62" t="n"/>
    </row>
    <row r="15">
      <c r="A15" s="64" t="inlineStr">
        <is>
          <t>Item</t>
        </is>
      </c>
      <c r="B15" s="64" t="inlineStr">
        <is>
          <t>Rate / qty</t>
        </is>
      </c>
      <c r="C15" s="71" t="n"/>
      <c r="D15" s="71" t="n"/>
      <c r="E15" s="72" t="n"/>
      <c r="F15" s="64" t="inlineStr">
        <is>
          <t>Amount</t>
        </is>
      </c>
      <c r="G15" s="71" t="n"/>
      <c r="H15" s="71" t="n"/>
      <c r="I15" s="71" t="n"/>
      <c r="J15" s="72" t="n"/>
      <c r="K15" s="64" t="inlineStr">
        <is>
          <t>Notes</t>
        </is>
      </c>
      <c r="L15" s="62" t="n"/>
    </row>
    <row r="16">
      <c r="A16" s="67" t="inlineStr">
        <is>
          <t>Media (ex-GST)</t>
        </is>
      </c>
      <c r="B16" s="67" t="n"/>
      <c r="C16" s="71" t="n"/>
      <c r="D16" s="71" t="n"/>
      <c r="E16" s="72" t="n"/>
      <c r="F16" s="75">
        <f>F11</f>
        <v>137750.0</v>
      </c>
      <c r="G16" s="71" t="n"/>
      <c r="H16" s="71" t="n"/>
      <c r="I16" s="71" t="n"/>
      <c r="J16" s="72" t="n"/>
      <c r="K16" s="67" t="inlineStr">
        <is>
          <t>From the table above.</t>
        </is>
      </c>
      <c r="L16" s="62" t="n"/>
    </row>
    <row r="17" ht="43.5" customHeight="1">
      <c r="A17" s="67" t="inlineStr">
        <is>
          <t>GST on media</t>
        </is>
      </c>
      <c r="B17" s="68" t="n">
        <v>0.18</v>
      </c>
      <c r="C17" s="71" t="n"/>
      <c r="D17" s="71" t="n"/>
      <c r="E17" s="72" t="n"/>
      <c r="F17" s="75">
        <f>F16*B17</f>
        <v>24795.0</v>
      </c>
      <c r="G17" s="71" t="n"/>
      <c r="H17" s="71" t="n"/>
      <c r="I17" s="71" t="n"/>
      <c r="J17" s="72" t="n"/>
      <c r="K17" s="67" t="inlineStr">
        <is>
          <t>18% on Meta and Google invoices.</t>
        </is>
      </c>
      <c r="L17" s="62" t="n"/>
    </row>
    <row r="18" ht="29.1" customHeight="1">
      <c r="A18" s="67" t="inlineStr">
        <is>
          <t>Creative production (VSL, videos, statics, carousels)</t>
        </is>
      </c>
      <c r="B18" s="67" t="n"/>
      <c r="C18" s="71" t="n"/>
      <c r="D18" s="71" t="n"/>
      <c r="E18" s="72" t="n"/>
      <c r="F18" s="75">
        <f>Creatives!F38</f>
        <v>37000.0</v>
      </c>
      <c r="G18" s="71" t="n"/>
      <c r="H18" s="71" t="n"/>
      <c r="I18" s="71" t="n"/>
      <c r="J18" s="72" t="n"/>
      <c r="K18" s="67" t="inlineStr">
        <is>
          <t>Freelance editor + designer + basic kit. Breakdown at the bottom of the Creatives tab.</t>
        </is>
      </c>
      <c r="L18" s="62" t="n"/>
    </row>
    <row r="19" ht="29.1" customHeight="1">
      <c r="A19" s="67" t="inlineStr">
        <is>
          <t>Zoom licence (1 host, 1 month)</t>
        </is>
      </c>
      <c r="B19" s="74" t="n">
        <v>1580</v>
      </c>
      <c r="C19" s="71" t="n"/>
      <c r="D19" s="71" t="n"/>
      <c r="E19" s="72" t="n"/>
      <c r="F19" s="75">
        <f>B19</f>
        <v>1580.0</v>
      </c>
      <c r="G19" s="71" t="n"/>
      <c r="H19" s="71" t="n"/>
      <c r="I19" s="71" t="n"/>
      <c r="J19" s="72" t="n"/>
      <c r="K19" s="67" t="inlineStr">
        <is>
          <t>Price from the Overview tab. Fine up to 100 live; upgrade if expected live goes above 100.</t>
        </is>
      </c>
      <c r="L19" s="62" t="n"/>
    </row>
    <row r="20" customFormat="1" s="32">
      <c r="A20" s="67" t="inlineStr">
        <is>
          <t>Email + WhatsApp reminders (WhatsApp API messages)</t>
        </is>
      </c>
      <c r="B20" s="74" t="n">
        <v>5000</v>
      </c>
      <c r="C20" s="71" t="n"/>
      <c r="D20" s="71" t="n"/>
      <c r="E20" s="72" t="n"/>
      <c r="F20" s="75">
        <f>B20</f>
        <v>5000.0</v>
      </c>
      <c r="G20" s="71" t="n"/>
      <c r="H20" s="71" t="n"/>
      <c r="I20" s="71" t="n"/>
      <c r="J20" s="72" t="n"/>
      <c r="K20" s="67" t="inlineStr">
        <is>
          <t>Estimate for ~220 people × 6 messages. Get a quote.</t>
        </is>
      </c>
      <c r="L20" s="62" t="n"/>
    </row>
    <row r="21">
      <c r="A21" s="67" t="inlineStr">
        <is>
          <t>Registration benefits (lucky draw)</t>
        </is>
      </c>
      <c r="B21" s="67" t="n"/>
      <c r="C21" s="71" t="n"/>
      <c r="D21" s="71" t="n"/>
      <c r="E21" s="72" t="n"/>
      <c r="F21" s="75">
        <f>Benefits!E14</f>
        <v>20000.0</v>
      </c>
      <c r="G21" s="71" t="n"/>
      <c r="H21" s="71" t="n"/>
      <c r="I21" s="71" t="n"/>
      <c r="J21" s="72" t="n"/>
      <c r="K21" s="67" t="inlineStr">
        <is>
          <t>From the Benefits tab.</t>
        </is>
      </c>
      <c r="L21" s="62" t="n"/>
    </row>
    <row r="22">
      <c r="A22" s="76" t="inlineStr">
        <is>
          <t>TOTAL (everything included)</t>
        </is>
      </c>
      <c r="B22" s="79" t="inlineStr"/>
      <c r="C22" s="71" t="n"/>
      <c r="D22" s="71" t="n"/>
      <c r="E22" s="72" t="n"/>
      <c r="F22" s="78">
        <f>SUM(F16:F21)</f>
        <v>226125.0</v>
      </c>
      <c r="G22" s="71" t="n"/>
      <c r="H22" s="71" t="n"/>
      <c r="I22" s="71" t="n"/>
      <c r="J22" s="72" t="n"/>
      <c r="K22" s="79" t="inlineStr"/>
      <c r="L22" s="62" t="n"/>
    </row>
    <row r="23">
      <c r="A23" s="65" t="inlineStr">
        <is>
          <t>Cost per registration (everything included)</t>
        </is>
      </c>
      <c r="B23" s="67" t="inlineStr"/>
      <c r="C23" s="71" t="n"/>
      <c r="D23" s="71" t="n"/>
      <c r="E23" s="72" t="n"/>
      <c r="F23" s="81">
        <f>IFERROR(F22/Funnel!B4,0)</f>
        <v>1130.625</v>
      </c>
      <c r="G23" s="71" t="n"/>
      <c r="H23" s="71" t="n"/>
      <c r="I23" s="71" t="n"/>
      <c r="J23" s="72" t="n"/>
      <c r="K23" s="67" t="inlineStr">
        <is>
          <t>22-Sep plan: ₹1,41,600 with GST for 150 registrations, tools separate.</t>
        </is>
      </c>
      <c r="L23" s="62" t="n"/>
    </row>
    <row r="24">
      <c r="A24" s="65" t="inlineStr">
        <is>
          <t>Cost per expected live attendee</t>
        </is>
      </c>
      <c r="B24" s="67" t="inlineStr"/>
      <c r="C24" s="71" t="n"/>
      <c r="D24" s="71" t="n"/>
      <c r="E24" s="72" t="n"/>
      <c r="F24" s="81">
        <f>IFERROR(F22/Funnel!B8,0)</f>
        <v>4522.5</v>
      </c>
      <c r="G24" s="71" t="n"/>
      <c r="H24" s="71" t="n"/>
      <c r="I24" s="71" t="n"/>
      <c r="J24" s="72" t="n"/>
      <c r="K24" s="62" t="n"/>
      <c r="L24" s="62" t="n"/>
    </row>
    <row r="25">
      <c r="A25" s="62" t="n"/>
      <c r="B25" s="62" t="n"/>
      <c r="C25" s="62" t="n"/>
      <c r="D25" s="62" t="n"/>
      <c r="E25" s="62" t="n"/>
      <c r="F25" s="62" t="n"/>
      <c r="G25" s="62" t="n"/>
      <c r="H25" s="62" t="n"/>
      <c r="I25" s="62" t="n"/>
      <c r="J25" s="62" t="n"/>
      <c r="K25" s="62" t="n"/>
      <c r="L25" s="62" t="n"/>
    </row>
    <row r="26">
      <c r="A26" s="80" t="inlineStr">
        <is>
          <t>Released in three stages (ads run Fri 9-Oct to Mon 26-Oct)</t>
        </is>
      </c>
      <c r="B26" s="62" t="n"/>
      <c r="C26" s="62" t="n"/>
      <c r="D26" s="62" t="n"/>
      <c r="E26" s="62" t="n"/>
      <c r="F26" s="62" t="n"/>
      <c r="G26" s="62" t="n"/>
      <c r="H26" s="62" t="n"/>
      <c r="I26" s="62" t="n"/>
      <c r="J26" s="62" t="n"/>
      <c r="K26" s="62" t="n"/>
      <c r="L26" s="62" t="n"/>
    </row>
    <row r="27">
      <c r="A27" s="64" t="inlineStr">
        <is>
          <t>Stage</t>
        </is>
      </c>
      <c r="B27" s="64" t="inlineStr">
        <is>
          <t>Start</t>
        </is>
      </c>
      <c r="C27" s="64" t="inlineStr">
        <is>
          <t>End</t>
        </is>
      </c>
      <c r="D27" s="64" t="inlineStr">
        <is>
          <t>Days</t>
        </is>
      </c>
      <c r="E27" s="64" t="inlineStr">
        <is>
          <t>Share of media</t>
        </is>
      </c>
      <c r="F27" s="64" t="inlineStr">
        <is>
          <t>Media budget</t>
        </is>
      </c>
      <c r="G27" s="64" t="inlineStr">
        <is>
          <t>Per day</t>
        </is>
      </c>
      <c r="H27" s="64" t="inlineStr">
        <is>
          <t>Meta</t>
        </is>
      </c>
      <c r="I27" s="64" t="inlineStr">
        <is>
          <t>YouTube</t>
        </is>
      </c>
      <c r="J27" s="64" t="inlineStr">
        <is>
          <t>Google</t>
        </is>
      </c>
      <c r="K27" s="64" t="inlineStr">
        <is>
          <t>What happens</t>
        </is>
      </c>
      <c r="L27" s="64" t="inlineStr">
        <is>
          <t>Condition to move on</t>
        </is>
      </c>
    </row>
    <row r="28">
      <c r="A28" s="65" t="inlineStr">
        <is>
          <t>1. Test</t>
        </is>
      </c>
      <c r="B28" s="82" t="n">
        <v>46304</v>
      </c>
      <c r="C28" s="82" t="n">
        <v>46308</v>
      </c>
      <c r="D28" s="83">
        <f>C28-B28+1</f>
        <v>5.0</v>
      </c>
      <c r="E28" s="68" t="n">
        <v>0.2</v>
      </c>
      <c r="F28" s="75">
        <f>$F$11*E28</f>
        <v>27550.0</v>
      </c>
      <c r="G28" s="75">
        <f>IFERROR(F28/D28,0)</f>
        <v>5510.0</v>
      </c>
      <c r="H28" s="75">
        <f>($F$6+$F$7+$F$10)*E28</f>
        <v>16600.0</v>
      </c>
      <c r="I28" s="75">
        <f>$F$8*E28</f>
        <v>5250.0</v>
      </c>
      <c r="J28" s="75">
        <f>$F$9*E28</f>
        <v>5700.0</v>
      </c>
      <c r="K28" s="67" t="inlineStr">
        <is>
          <t>10 creatives live: 3 Meta ad sets × 3 creatives + YouTube VSL cut + Google Search. Find the cheapest hook.</t>
        </is>
      </c>
      <c r="L28" s="67" t="inlineStr">
        <is>
          <t>Meta ≤ ₹700, YouTube ≤ ₹900, Google ≤ ₹1,100 per registration. CEO review Tue 13-Oct.</t>
        </is>
      </c>
    </row>
    <row r="29">
      <c r="A29" s="65" t="inlineStr">
        <is>
          <t>2. Scale</t>
        </is>
      </c>
      <c r="B29" s="82" t="n">
        <v>46309</v>
      </c>
      <c r="C29" s="82" t="n">
        <v>46318</v>
      </c>
      <c r="D29" s="83">
        <f>C29-B29+1</f>
        <v>10.0</v>
      </c>
      <c r="E29" s="68" t="n">
        <v>0.68</v>
      </c>
      <c r="F29" s="75">
        <f>$F$11*E29</f>
        <v>93670.0</v>
      </c>
      <c r="G29" s="75">
        <f>IFERROR(F29/D29,0)</f>
        <v>9367.0</v>
      </c>
      <c r="H29" s="75">
        <f>($F$6+$F$7+$F$10)*E29</f>
        <v>56440.00000000001</v>
      </c>
      <c r="I29" s="75">
        <f>$F$8*E29</f>
        <v>17850.0</v>
      </c>
      <c r="J29" s="75">
        <f>$F$9*E29</f>
        <v>19380.0</v>
      </c>
      <c r="K29" s="67" t="inlineStr">
        <is>
          <t>Money behind winners only. Retargeting on. New creatives on 14, 18 and 21 Oct.</t>
        </is>
      </c>
      <c r="L29" s="67" t="inlineStr">
        <is>
          <t>Shift money every 2 days to the platform with the lowest cost per registration.</t>
        </is>
      </c>
    </row>
    <row r="30">
      <c r="A30" s="65" t="inlineStr">
        <is>
          <t>3. Last call</t>
        </is>
      </c>
      <c r="B30" s="82" t="n">
        <v>46319</v>
      </c>
      <c r="C30" s="82" t="n">
        <v>46321</v>
      </c>
      <c r="D30" s="83">
        <f>C30-B30+1</f>
        <v>3.0</v>
      </c>
      <c r="E30" s="68" t="n">
        <v>0.12</v>
      </c>
      <c r="F30" s="75">
        <f>$F$11*E30</f>
        <v>16530.0</v>
      </c>
      <c r="G30" s="75">
        <f>IFERROR(F30/D30,0)</f>
        <v>5510.0</v>
      </c>
      <c r="H30" s="75">
        <f>($F$6+$F$7+$F$10)*E30</f>
        <v>9960.0</v>
      </c>
      <c r="I30" s="75">
        <f>$F$8*E30</f>
        <v>3150.0</v>
      </c>
      <c r="J30" s="75">
        <f>$F$9*E30</f>
        <v>3420.0</v>
      </c>
      <c r="K30" s="67" t="inlineStr">
        <is>
          <t>Countdown creatives to retargeting + best cold ad. Stop at 11:59 PM Mon 26-Oct.</t>
        </is>
      </c>
      <c r="L30" s="67" t="inlineStr">
        <is>
          <t>Stop the day before the webinar.</t>
        </is>
      </c>
    </row>
    <row r="31">
      <c r="A31" s="76" t="inlineStr">
        <is>
          <t>Total</t>
        </is>
      </c>
      <c r="B31" s="84">
        <f>B28</f>
        <v>46304.0</v>
      </c>
      <c r="C31" s="84">
        <f>C30</f>
        <v>46321.0</v>
      </c>
      <c r="D31" s="85">
        <f>SUM(D28:D30)</f>
        <v>18.0</v>
      </c>
      <c r="E31" s="86">
        <f>SUM(E28:E30)</f>
        <v>1.0</v>
      </c>
      <c r="F31" s="78">
        <f>SUM(F28:F30)</f>
        <v>137750.0</v>
      </c>
      <c r="G31" s="78">
        <f>IFERROR(F31/D31,0)</f>
        <v>7652.777777777777</v>
      </c>
      <c r="H31" s="78">
        <f>SUM(H28:H30)</f>
        <v>83000.0</v>
      </c>
      <c r="I31" s="78">
        <f>SUM(I28:I30)</f>
        <v>26250.0</v>
      </c>
      <c r="J31" s="78">
        <f>SUM(J28:J30)</f>
        <v>28500.0</v>
      </c>
      <c r="K31" s="76" t="str">
        <f>IF(ROUND(E31,4)=1,"OK","Shares must add to 100%")</f>
        <v>OK</v>
      </c>
      <c r="L31" s="79" t="inlineStr"/>
    </row>
    <row r="32">
      <c r="A32" s="63" t="inlineStr">
        <is>
          <t>The Meta column includes LinkedIn spend if you switch LinkedIn back on.</t>
        </is>
      </c>
      <c r="B32" s="62" t="n"/>
      <c r="C32" s="62" t="n"/>
      <c r="D32" s="62" t="n"/>
      <c r="E32" s="62" t="n"/>
      <c r="F32" s="62" t="n"/>
      <c r="G32" s="62" t="n"/>
      <c r="H32" s="62" t="n"/>
      <c r="I32" s="62" t="n"/>
      <c r="J32" s="62" t="n"/>
      <c r="K32" s="62" t="n"/>
      <c r="L32" s="62" t="n"/>
    </row>
    <row r="33">
      <c r="A33" s="62" t="n"/>
      <c r="B33" s="62" t="n"/>
      <c r="C33" s="62" t="n"/>
      <c r="D33" s="62" t="n"/>
      <c r="E33" s="62" t="n"/>
      <c r="F33" s="62" t="n"/>
      <c r="G33" s="62" t="n"/>
      <c r="H33" s="62" t="n"/>
      <c r="I33" s="62" t="n"/>
      <c r="J33" s="62" t="n"/>
      <c r="K33" s="62" t="n"/>
      <c r="L33" s="62" t="n"/>
    </row>
    <row r="34">
      <c r="A34" s="62" t="n"/>
      <c r="B34" s="62" t="n"/>
      <c r="C34" s="62" t="n"/>
      <c r="D34" s="62" t="n"/>
      <c r="E34" s="62" t="n"/>
      <c r="F34" s="62" t="n"/>
      <c r="G34" s="62" t="n"/>
      <c r="H34" s="62" t="n"/>
      <c r="I34" s="62" t="n"/>
      <c r="J34" s="62" t="n"/>
      <c r="K34" s="62" t="n"/>
      <c r="L34" s="62" t="n"/>
    </row>
    <row r="35">
      <c r="A35" s="62" t="n"/>
      <c r="B35" s="62" t="n"/>
      <c r="C35" s="62" t="n"/>
      <c r="D35" s="62" t="n"/>
      <c r="E35" s="62" t="n"/>
      <c r="F35" s="62" t="n"/>
      <c r="G35" s="62" t="n"/>
      <c r="H35" s="62" t="n"/>
      <c r="I35" s="62" t="n"/>
      <c r="J35" s="62" t="n"/>
      <c r="K35" s="62" t="n"/>
      <c r="L35" s="62" t="n"/>
    </row>
    <row r="36">
      <c r="A36" s="62" t="n"/>
      <c r="B36" s="62" t="n"/>
      <c r="C36" s="62" t="n"/>
      <c r="D36" s="62" t="n"/>
      <c r="E36" s="62" t="n"/>
      <c r="F36" s="62" t="n"/>
      <c r="G36" s="62" t="n"/>
      <c r="H36" s="62" t="n"/>
      <c r="I36" s="62" t="n"/>
      <c r="J36" s="62" t="n"/>
      <c r="K36" s="62" t="n"/>
      <c r="L36" s="62" t="n"/>
    </row>
    <row r="37">
      <c r="A37" s="62" t="n"/>
      <c r="B37" s="62" t="n"/>
      <c r="C37" s="62" t="n"/>
      <c r="D37" s="62" t="n"/>
      <c r="E37" s="62" t="n"/>
      <c r="F37" s="62" t="n"/>
      <c r="G37" s="62" t="n"/>
      <c r="H37" s="62" t="n"/>
      <c r="I37" s="62" t="n"/>
      <c r="J37" s="62" t="n"/>
      <c r="K37" s="62" t="n"/>
      <c r="L37" s="62" t="n"/>
    </row>
    <row r="38">
      <c r="A38" s="62" t="n"/>
      <c r="B38" s="62" t="n"/>
      <c r="C38" s="62" t="n"/>
      <c r="D38" s="62" t="n"/>
      <c r="E38" s="62" t="n"/>
      <c r="F38" s="62" t="n"/>
      <c r="G38" s="62" t="n"/>
      <c r="H38" s="62" t="n"/>
      <c r="I38" s="62" t="n"/>
      <c r="J38" s="62" t="n"/>
      <c r="K38" s="62" t="n"/>
      <c r="L38" s="62" t="n"/>
    </row>
    <row r="39">
      <c r="A39" s="62" t="n"/>
      <c r="B39" s="62" t="n"/>
      <c r="C39" s="62" t="n"/>
      <c r="D39" s="62" t="n"/>
      <c r="E39" s="62" t="n"/>
      <c r="F39" s="62" t="n"/>
      <c r="G39" s="62" t="n"/>
      <c r="H39" s="62" t="n"/>
      <c r="I39" s="62" t="n"/>
      <c r="J39" s="62" t="n"/>
      <c r="K39" s="62" t="n"/>
      <c r="L39" s="62" t="n"/>
    </row>
    <row r="40">
      <c r="A40" s="62" t="n"/>
      <c r="B40" s="62" t="n"/>
      <c r="C40" s="62" t="n"/>
      <c r="D40" s="62" t="n"/>
      <c r="E40" s="62" t="n"/>
      <c r="F40" s="62" t="n"/>
      <c r="G40" s="62" t="n"/>
      <c r="H40" s="62" t="n"/>
      <c r="I40" s="62" t="n"/>
      <c r="J40" s="62" t="n"/>
      <c r="K40" s="62" t="n"/>
      <c r="L40" s="62" t="n"/>
    </row>
    <row r="41">
      <c r="A41" s="62" t="n"/>
      <c r="B41" s="62" t="n"/>
      <c r="C41" s="62" t="n"/>
      <c r="D41" s="62" t="n"/>
      <c r="E41" s="62" t="n"/>
      <c r="F41" s="62" t="n"/>
      <c r="G41" s="62" t="n"/>
      <c r="H41" s="62" t="n"/>
      <c r="I41" s="62" t="n"/>
      <c r="J41" s="62" t="n"/>
      <c r="K41" s="62" t="n"/>
      <c r="L41" s="62" t="n"/>
    </row>
    <row r="42">
      <c r="A42" s="62" t="n"/>
      <c r="B42" s="62" t="n"/>
      <c r="C42" s="62" t="n"/>
      <c r="D42" s="62" t="n"/>
      <c r="E42" s="62" t="n"/>
      <c r="F42" s="62" t="n"/>
      <c r="G42" s="62" t="n"/>
      <c r="H42" s="62" t="n"/>
      <c r="I42" s="62" t="n"/>
      <c r="J42" s="62" t="n"/>
      <c r="K42" s="62" t="n"/>
      <c r="L42" s="62" t="n"/>
    </row>
    <row r="43">
      <c r="A43" s="62" t="n"/>
      <c r="B43" s="62" t="n"/>
      <c r="C43" s="62" t="n"/>
      <c r="D43" s="62" t="n"/>
      <c r="E43" s="62" t="n"/>
      <c r="F43" s="62" t="n"/>
      <c r="G43" s="62" t="n"/>
      <c r="H43" s="62" t="n"/>
      <c r="I43" s="62" t="n"/>
      <c r="J43" s="62" t="n"/>
      <c r="K43" s="62" t="n"/>
      <c r="L43" s="62" t="n"/>
    </row>
    <row r="44">
      <c r="A44" s="62" t="n"/>
      <c r="B44" s="62" t="n"/>
      <c r="C44" s="62" t="n"/>
      <c r="D44" s="62" t="n"/>
      <c r="E44" s="62" t="n"/>
      <c r="F44" s="62" t="n"/>
      <c r="G44" s="62" t="n"/>
      <c r="H44" s="62" t="n"/>
      <c r="I44" s="62" t="n"/>
      <c r="J44" s="62" t="n"/>
      <c r="K44" s="62" t="n"/>
      <c r="L44" s="62" t="n"/>
    </row>
    <row r="45">
      <c r="A45" s="62" t="n"/>
      <c r="B45" s="62" t="n"/>
      <c r="C45" s="62" t="n"/>
      <c r="D45" s="62" t="n"/>
      <c r="E45" s="62" t="n"/>
      <c r="F45" s="62" t="n"/>
      <c r="G45" s="62" t="n"/>
      <c r="H45" s="62" t="n"/>
      <c r="I45" s="62" t="n"/>
      <c r="J45" s="62" t="n"/>
      <c r="K45" s="62" t="n"/>
      <c r="L45" s="62" t="n"/>
    </row>
  </sheetData>
  <mergeCells count="39">
    <mergeCell ref="F11:J11"/>
    <mergeCell ref="F10:J10"/>
    <mergeCell ref="F16:J16"/>
    <mergeCell ref="C9:E9"/>
    <mergeCell ref="B15:E15"/>
    <mergeCell ref="F19:J19"/>
    <mergeCell ref="B24:E24"/>
    <mergeCell ref="F6:J6"/>
    <mergeCell ref="B20:E20"/>
    <mergeCell ref="F7:J7"/>
    <mergeCell ref="F3:J3"/>
    <mergeCell ref="C11:E11"/>
    <mergeCell ref="F15:J15"/>
    <mergeCell ref="F21:J21"/>
    <mergeCell ref="F24:J24"/>
    <mergeCell ref="F20:J20"/>
    <mergeCell ref="C8:E8"/>
    <mergeCell ref="B16:E16"/>
    <mergeCell ref="F5:J5"/>
    <mergeCell ref="F18:J18"/>
    <mergeCell ref="C7:E7"/>
    <mergeCell ref="F8:J8"/>
    <mergeCell ref="B22:E22"/>
    <mergeCell ref="F17:J17"/>
    <mergeCell ref="B18:E18"/>
    <mergeCell ref="F23:J23"/>
    <mergeCell ref="B21:E21"/>
    <mergeCell ref="C3:E3"/>
    <mergeCell ref="F22:J22"/>
    <mergeCell ref="C6:E6"/>
    <mergeCell ref="F9:J9"/>
    <mergeCell ref="B17:E17"/>
    <mergeCell ref="B23:E23"/>
    <mergeCell ref="C5:E5"/>
    <mergeCell ref="C4:E4"/>
    <mergeCell ref="B19:E19"/>
    <mergeCell ref="B12:J12"/>
    <mergeCell ref="F4:J4"/>
    <mergeCell ref="C10:E10"/>
  </mergeCells>
  <pageMargins left="0.75" right="0.75" top="1" bottom="1" header="0.5" footer="0.5"/>
  <pageSetup orientation="landscape" fitToHeight="0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G19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26" customWidth="1" min="3" max="3"/>
    <col width="26" customWidth="1" min="4" max="4"/>
    <col width="13" customWidth="1" min="5" max="5"/>
    <col width="34" customWidth="1" min="6" max="6"/>
    <col width="46" customWidth="1" min="7" max="7"/>
  </cols>
  <sheetData>
    <row r="1">
      <c r="A1" s="61" t="inlineStr">
        <is>
          <t>Why register: benefits for registrants and live attendees</t>
        </is>
      </c>
    </row>
    <row r="2">
      <c r="A2" s="63" t="inlineStr">
        <is>
          <t>Rule: the best rewards go to people who attend live, not to people who only register. This protects the show-up rate.</t>
        </is>
      </c>
    </row>
    <row r="3">
      <c r="A3" s="64" t="inlineStr">
        <is>
          <t>#</t>
        </is>
      </c>
      <c r="B3" s="64" t="inlineStr">
        <is>
          <t>Benefit</t>
        </is>
      </c>
      <c r="C3" s="64" t="inlineStr">
        <is>
          <t>Who gets it</t>
        </is>
      </c>
      <c r="D3" s="64" t="inlineStr">
        <is>
          <t>When they get it</t>
        </is>
      </c>
      <c r="E3" s="64" t="inlineStr">
        <is>
          <t>Cost (₹)</t>
        </is>
      </c>
      <c r="F3" s="64" t="inlineStr">
        <is>
          <t>Where we say it</t>
        </is>
      </c>
      <c r="G3" s="64" t="inlineStr">
        <is>
          <t>Why engineers care</t>
        </is>
      </c>
    </row>
    <row r="4">
      <c r="A4" s="67" t="n">
        <v>1</v>
      </c>
      <c r="B4" s="65" t="inlineStr">
        <is>
          <t>Send your build-or-buy question; the CTO answers the best ones live</t>
        </is>
      </c>
      <c r="C4" s="67" t="inlineStr">
        <is>
          <t>All registrants</t>
        </is>
      </c>
      <c r="D4" s="67" t="inlineStr">
        <is>
          <t>Question box on the form</t>
        </is>
      </c>
      <c r="E4" s="74" t="n">
        <v>0</v>
      </c>
      <c r="F4" s="67" t="inlineStr">
        <is>
          <t>Ad headline, VSL, form</t>
        </is>
      </c>
      <c r="G4" s="67" t="inlineStr">
        <is>
          <t>Free expert advice on their own real problem.</t>
        </is>
      </c>
    </row>
    <row r="5">
      <c r="A5" s="67" t="n">
        <v>2</v>
      </c>
      <c r="B5" s="65" t="inlineStr">
        <is>
          <t>1-page preview of the CTO's 5-question checklist</t>
        </is>
      </c>
      <c r="C5" s="67" t="inlineStr">
        <is>
          <t>All registrants</t>
        </is>
      </c>
      <c r="D5" s="67" t="inlineStr">
        <is>
          <t>Instantly, on the thank-you page</t>
        </is>
      </c>
      <c r="E5" s="74" t="n">
        <v>0</v>
      </c>
      <c r="F5" s="67" t="inlineStr">
        <is>
          <t>VSL, thank-you page</t>
        </is>
      </c>
      <c r="G5" s="67" t="inlineStr">
        <is>
          <t>Instant value, and it makes them want the full version.</t>
        </is>
      </c>
    </row>
    <row r="6">
      <c r="A6" s="67" t="n">
        <v>3</v>
      </c>
      <c r="B6" s="65" t="inlineStr">
        <is>
          <t>Full 'Build, Buy or Partner' toolkit: 5-question checklist + decision template (PDF/Notion)</t>
        </is>
      </c>
      <c r="C6" s="67" t="inlineStr">
        <is>
          <t>Live attendees</t>
        </is>
      </c>
      <c r="D6" s="67" t="inlineStr">
        <is>
          <t>In the Zoom chat, last 10 minutes</t>
        </is>
      </c>
      <c r="E6" s="74" t="n">
        <v>0</v>
      </c>
      <c r="F6" s="67" t="inlineStr">
        <is>
          <t>Ads, VSL, reminders</t>
        </is>
      </c>
      <c r="G6" s="67" t="inlineStr">
        <is>
          <t>A tool they can use at work the next day.</t>
        </is>
      </c>
    </row>
    <row r="7">
      <c r="A7" s="67" t="n">
        <v>4</v>
      </c>
      <c r="B7" s="65" t="inlineStr">
        <is>
          <t>Certificate of participation, signed by the CTO (LinkedIn-shareable)</t>
        </is>
      </c>
      <c r="C7" s="67" t="inlineStr">
        <is>
          <t>Live attendees who stay 40+ minutes</t>
        </is>
      </c>
      <c r="D7" s="67" t="inlineStr">
        <is>
          <t>Email within 24 hours</t>
        </is>
      </c>
      <c r="E7" s="74" t="n">
        <v>0</v>
      </c>
      <c r="F7" s="67" t="inlineStr">
        <is>
          <t>Ads (support line), VSL</t>
        </is>
      </c>
      <c r="G7" s="67" t="inlineStr">
        <is>
          <t>Shows on their LinkedIn profile and helps their career.</t>
        </is>
      </c>
    </row>
    <row r="8">
      <c r="A8" s="67" t="n">
        <v>5</v>
      </c>
      <c r="B8" s="65" t="inlineStr">
        <is>
          <t>Slides and architecture templates from the session</t>
        </is>
      </c>
      <c r="C8" s="67" t="inlineStr">
        <is>
          <t>Live attendees</t>
        </is>
      </c>
      <c r="D8" s="67" t="inlineStr">
        <is>
          <t>Email within 24 hours</t>
        </is>
      </c>
      <c r="E8" s="74" t="n">
        <v>0</v>
      </c>
      <c r="F8" s="67" t="inlineStr">
        <is>
          <t>Reminders</t>
        </is>
      </c>
      <c r="G8" s="67" t="inlineStr">
        <is>
          <t>Saves them hours of making their own.</t>
        </is>
      </c>
    </row>
    <row r="9">
      <c r="A9" s="67" t="n">
        <v>6</v>
      </c>
      <c r="B9" s="65" t="inlineStr">
        <is>
          <t>Free 30-minute 1:1 architecture or cloud review with a Zarthi engineer (10 slots)</t>
        </is>
      </c>
      <c r="C9" s="67" t="inlineStr">
        <is>
          <t>Live attendees from companies with 50+ staff</t>
        </is>
      </c>
      <c r="D9" s="67" t="inlineStr">
        <is>
          <t>Booking link at the end</t>
        </is>
      </c>
      <c r="E9" s="74" t="n">
        <v>0</v>
      </c>
      <c r="F9" s="67" t="inlineStr">
        <is>
          <t>VSL, last reminder</t>
        </is>
      </c>
      <c r="G9" s="67" t="inlineStr">
        <is>
          <t>Expert eyes on their own setup. This is also the sales pipeline.</t>
        </is>
      </c>
    </row>
    <row r="10">
      <c r="A10" s="67" t="n">
        <v>7</v>
      </c>
      <c r="B10" s="65" t="inlineStr">
        <is>
          <t>Lucky draw: 10 × ₹1,000 + 2 × ₹5,000 vouchers</t>
        </is>
      </c>
      <c r="C10" s="67" t="inlineStr">
        <is>
          <t>People who stay till the end</t>
        </is>
      </c>
      <c r="D10" s="67" t="inlineStr">
        <is>
          <t>Drawn live in the last 5 minutes</t>
        </is>
      </c>
      <c r="E10" s="74" t="n">
        <v>20000</v>
      </c>
      <c r="F10" s="67" t="inlineStr">
        <is>
          <t>Ads (support line), reminders</t>
        </is>
      </c>
      <c r="G10" s="67" t="inlineStr">
        <is>
          <t>Small fun reason to stay till the end.</t>
        </is>
      </c>
    </row>
    <row r="11">
      <c r="A11" s="67" t="n">
        <v>8</v>
      </c>
      <c r="B11" s="65" t="inlineStr">
        <is>
          <t>Join the 'Think Like a CTO' series community and get early access to episode 2</t>
        </is>
      </c>
      <c r="C11" s="67" t="inlineStr">
        <is>
          <t>All registrants</t>
        </is>
      </c>
      <c r="D11" s="67" t="inlineStr">
        <is>
          <t>Thank-you page</t>
        </is>
      </c>
      <c r="E11" s="74" t="n">
        <v>0</v>
      </c>
      <c r="F11" s="67" t="inlineStr">
        <is>
          <t>Thank-you page</t>
        </is>
      </c>
      <c r="G11" s="67" t="inlineStr">
        <is>
          <t>Peer group of engineers growing into leadership.</t>
        </is>
      </c>
    </row>
    <row r="12">
      <c r="A12" s="67" t="n">
        <v>9</v>
      </c>
      <c r="B12" s="65" t="inlineStr">
        <is>
          <t>Invite 2 teammates and your question jumps the queue</t>
        </is>
      </c>
      <c r="C12" s="67" t="inlineStr">
        <is>
          <t>Registrants who invite 2 colleagues</t>
        </is>
      </c>
      <c r="D12" s="67" t="inlineStr">
        <is>
          <t>Thank-you page share link</t>
        </is>
      </c>
      <c r="E12" s="74" t="n">
        <v>0</v>
      </c>
      <c r="F12" s="67" t="inlineStr">
        <is>
          <t>Thank-you page</t>
        </is>
      </c>
      <c r="G12" s="67" t="inlineStr">
        <is>
          <t>Free extra reach for us.</t>
        </is>
      </c>
    </row>
    <row r="14">
      <c r="A14" s="79" t="inlineStr"/>
      <c r="B14" s="76" t="inlineStr">
        <is>
          <t>Total cost</t>
        </is>
      </c>
      <c r="C14" s="79" t="inlineStr"/>
      <c r="D14" s="79" t="inlineStr"/>
      <c r="E14" s="78">
        <f>SUM(E4:E12)</f>
        <v>20000.0</v>
      </c>
      <c r="F14" s="79" t="inlineStr"/>
      <c r="G14" s="79" t="inlineStr"/>
    </row>
    <row r="16">
      <c r="A16" s="80" t="inlineStr">
        <is>
          <t>Ad line to use</t>
        </is>
      </c>
    </row>
    <row r="17">
      <c r="A17" s="62" t="inlineStr">
        <is>
          <t>Headline: "Build, buy or partner? Learn how a CTO decides, live and free."</t>
        </is>
      </c>
    </row>
    <row r="18">
      <c r="A18" s="62" t="inlineStr">
        <is>
          <t>Support line: "CTO checklist + certificate + ₹5,000 lucky draw for live attendees."</t>
        </is>
      </c>
    </row>
    <row r="19">
      <c r="A19" s="63" t="inlineStr">
        <is>
          <t>Do not promise a recording before the webinar: it lowers live attendance. Send it to no-shows afterwards.</t>
        </is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M21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52" customWidth="1" min="4" max="4"/>
    <col width="26" customWidth="1" min="5" max="5"/>
    <col width="30" customWidth="1" min="6" max="6"/>
    <col width="11" customWidth="1" min="7" max="7"/>
    <col width="12" customWidth="1" min="8" max="8"/>
    <col width="12" customWidth="1" min="9" max="9"/>
    <col width="14" customWidth="1" min="10" max="10"/>
    <col width="13" customWidth="1" min="11" max="11"/>
    <col width="13" customWidth="1" min="12" max="12"/>
    <col width="36" customWidth="1" min="13" max="13"/>
  </cols>
  <sheetData>
    <row r="1">
      <c r="A1" s="61" t="inlineStr">
        <is>
          <t>Ads plan: Meta, YouTube and Google (LinkedIn paused for the pilot)</t>
        </is>
      </c>
    </row>
    <row r="2">
      <c r="A2" s="63" t="inlineStr">
        <is>
          <t>Budgets and registrations are pulled from the Budget tab. Dates are from the stage table on the Budget tab.</t>
        </is>
      </c>
    </row>
    <row r="3">
      <c r="A3" s="64" t="inlineStr">
        <is>
          <t>Platform</t>
        </is>
      </c>
      <c r="B3" s="64" t="inlineStr">
        <is>
          <t>Campaign</t>
        </is>
      </c>
      <c r="C3" s="64" t="inlineStr">
        <is>
          <t>Objective and bidding</t>
        </is>
      </c>
      <c r="D3" s="64" t="inlineStr">
        <is>
          <t>Targeting</t>
        </is>
      </c>
      <c r="E3" s="64" t="inlineStr">
        <is>
          <t>Placements</t>
        </is>
      </c>
      <c r="F3" s="64" t="inlineStr">
        <is>
          <t>Formats</t>
        </is>
      </c>
      <c r="G3" s="64" t="inlineStr">
        <is>
          <t>Creatives live</t>
        </is>
      </c>
      <c r="H3" s="64" t="inlineStr">
        <is>
          <t>Start</t>
        </is>
      </c>
      <c r="I3" s="64" t="inlineStr">
        <is>
          <t>End</t>
        </is>
      </c>
      <c r="J3" s="64" t="inlineStr">
        <is>
          <t>Media budget</t>
        </is>
      </c>
      <c r="K3" s="64" t="inlineStr">
        <is>
          <t>Per day (avg)</t>
        </is>
      </c>
      <c r="L3" s="64" t="inlineStr">
        <is>
          <t>Registrations</t>
        </is>
      </c>
      <c r="M3" s="64" t="inlineStr">
        <is>
          <t>Refresh / frequency</t>
        </is>
      </c>
    </row>
    <row r="4">
      <c r="A4" s="65" t="inlineStr">
        <is>
          <t>Meta</t>
        </is>
      </c>
      <c r="B4" s="65" t="inlineStr">
        <is>
          <t>M1 Prospecting: Cloud &amp; DevOps interests</t>
        </is>
      </c>
      <c r="C4" s="67" t="inlineStr">
        <is>
          <t>Leads, optimised for the 'Lead' event on the VSL page. Lowest cost. Week 1: one ad set also tests an instant form with the VSL.</t>
        </is>
      </c>
      <c r="D4" s="67" t="inlineStr">
        <is>
          <t>India: Bengaluru, Hyderabad, Pune, Delhi-NCR, Chennai, Mumbai + tier-2 cities. Age 24–45. Interests: AWS, Microsoft Azure, Google Cloud, DevOps, Kubernetes, Docker, Terraform, Site reliability engineering, Linux. Job titles where available: DevOps Engineer, SRE, Cloud Engineer, Platform Engineer.</t>
        </is>
      </c>
      <c r="E4" s="67" t="inlineStr">
        <is>
          <t>FB + IG Feed, Reels, Stories</t>
        </is>
      </c>
      <c r="F4" s="67" t="inlineStr">
        <is>
          <t>CTO 30s video, engineer POV reel, carousel C1, static S1/S2</t>
        </is>
      </c>
      <c r="G4" s="83" t="n">
        <v>4</v>
      </c>
      <c r="H4" s="87">
        <f>Budget!B28</f>
        <v>46304.0</v>
      </c>
      <c r="I4" s="87">
        <f>Budget!C30</f>
        <v>46321.0</v>
      </c>
      <c r="J4" s="75">
        <f>Budget!F6*0.45</f>
        <v>34650.0</v>
      </c>
      <c r="K4" s="75">
        <f>IFERROR(J4/(I4-H4+1),0)</f>
        <v>1925.0</v>
      </c>
      <c r="L4" s="69">
        <f>ROUND(Budget!B6*0.45,0)</f>
        <v>50.0</v>
      </c>
      <c r="M4" s="67" t="inlineStr">
        <is>
          <t>New creative every 4–5 days. Swap when 7-day frequency &gt; 2.5 or CTR drops 30%.</t>
        </is>
      </c>
    </row>
    <row r="5">
      <c r="A5" s="65" t="inlineStr">
        <is>
          <t>Meta</t>
        </is>
      </c>
      <c r="B5" s="65" t="inlineStr">
        <is>
          <t>M2 Prospecting: Developers</t>
        </is>
      </c>
      <c r="C5" s="67" t="inlineStr">
        <is>
          <t>Same as M1.</t>
        </is>
      </c>
      <c r="D5" s="67" t="inlineStr">
        <is>
          <t>Same cities and age. Interests: GitHub, Stack Overflow, software development, Python, Java, Go, microservices, backend development. Excludes M1 audience.</t>
        </is>
      </c>
      <c r="E5" s="67" t="inlineStr">
        <is>
          <t>FB + IG Feed, Reels</t>
        </is>
      </c>
      <c r="F5" s="67" t="inlineStr">
        <is>
          <t>Myth vs fact reel, whiteboard video, carousel C2, static S3</t>
        </is>
      </c>
      <c r="G5" s="83" t="n">
        <v>3</v>
      </c>
      <c r="H5" s="87">
        <f>Budget!B28</f>
        <v>46304.0</v>
      </c>
      <c r="I5" s="87">
        <f>Budget!C30</f>
        <v>46321.0</v>
      </c>
      <c r="J5" s="75">
        <f>Budget!F6*0.30</f>
        <v>23100.0</v>
      </c>
      <c r="K5" s="75">
        <f>IFERROR(J5/(I5-H5+1),0)</f>
        <v>1283.3333333333333</v>
      </c>
      <c r="L5" s="69">
        <f>ROUND(Budget!B6*0.30,0)</f>
        <v>33.0</v>
      </c>
      <c r="M5" s="67" t="inlineStr">
        <is>
          <t>Same as M1.</t>
        </is>
      </c>
    </row>
    <row r="6">
      <c r="A6" s="65" t="inlineStr">
        <is>
          <t>Meta</t>
        </is>
      </c>
      <c r="B6" s="65" t="inlineStr">
        <is>
          <t>M3 Prospecting: Advantage+ broad + lookalike</t>
        </is>
      </c>
      <c r="C6" s="67" t="inlineStr">
        <is>
          <t>Same as M1. Let Meta find people similar to the email list.</t>
        </is>
      </c>
      <c r="D6" s="67" t="inlineStr">
        <is>
          <t>1% lookalike of the own email list and past webinar-style leads, plus Advantage+ audience with the M1 interests as suggestions.</t>
        </is>
      </c>
      <c r="E6" s="67" t="inlineStr">
        <is>
          <t>Advantage+ placements</t>
        </is>
      </c>
      <c r="F6" s="67" t="inlineStr">
        <is>
          <t>Best 3 creatives from M1/M2 after test week</t>
        </is>
      </c>
      <c r="G6" s="83" t="n">
        <v>3</v>
      </c>
      <c r="H6" s="87">
        <f>Budget!B28</f>
        <v>46304.0</v>
      </c>
      <c r="I6" s="87">
        <f>Budget!C30</f>
        <v>46321.0</v>
      </c>
      <c r="J6" s="75">
        <f>Budget!F6*0.25</f>
        <v>19250.0</v>
      </c>
      <c r="K6" s="75">
        <f>IFERROR(J6/(I6-H6+1),0)</f>
        <v>1069.4444444444443</v>
      </c>
      <c r="L6" s="69">
        <f>Budget!B6-L4-L5</f>
        <v>27.0</v>
      </c>
      <c r="M6" s="67" t="inlineStr">
        <is>
          <t>Fed with winners on 14, 18 and 21 Oct.</t>
        </is>
      </c>
    </row>
    <row r="7">
      <c r="A7" s="65" t="inlineStr">
        <is>
          <t>Meta</t>
        </is>
      </c>
      <c r="B7" s="65" t="inlineStr">
        <is>
          <t>M4 Retargeting</t>
        </is>
      </c>
      <c r="C7" s="67" t="inlineStr">
        <is>
          <t>Leads, with a cost cap of ₹400.</t>
        </is>
      </c>
      <c r="D7" s="67" t="inlineStr">
        <is>
          <t>Watched 25%+ of the VSL or any video ad, visited the page but did not register (last 14 days), IG/FB engagers. Excludes people who registered.</t>
        </is>
      </c>
      <c r="E7" s="67" t="inlineStr">
        <is>
          <t>FB + IG Feed, Stories, Reels</t>
        </is>
      </c>
      <c r="F7" s="67" t="inlineStr">
        <is>
          <t>Benefits static, countdown static and video, social proof static</t>
        </is>
      </c>
      <c r="G7" s="83" t="n">
        <v>3</v>
      </c>
      <c r="H7" s="87">
        <f>Budget!B29</f>
        <v>46309.0</v>
      </c>
      <c r="I7" s="87">
        <f>Budget!C30</f>
        <v>46321.0</v>
      </c>
      <c r="J7" s="75">
        <f>Budget!F7</f>
        <v>6000.0</v>
      </c>
      <c r="K7" s="75">
        <f>IFERROR(J7/(I7-H7+1),0)</f>
        <v>461.53846153846155</v>
      </c>
      <c r="L7" s="69">
        <f>Budget!B7</f>
        <v>15.0</v>
      </c>
      <c r="M7" s="67" t="inlineStr">
        <is>
          <t>Countdown creative changes daily in the last 3 days.</t>
        </is>
      </c>
    </row>
    <row r="8">
      <c r="A8" s="65" t="inlineStr">
        <is>
          <t>YouTube</t>
        </is>
      </c>
      <c r="B8" s="65" t="inlineStr">
        <is>
          <t>Y1 VSL video ads (Demand Gen)</t>
        </is>
      </c>
      <c r="C8" s="67" t="inlineStr">
        <is>
          <t>Demand Gen, optimised for registrations (maximise conversions). Switch to target CPA ₹750 after 15 registrations.</t>
        </is>
      </c>
      <c r="D8" s="67" t="inlineStr">
        <is>
          <t>India, age 24–45. Custom segments: people who searched Kubernetes, Terraform, AWS DevOps, SRE, platform engineering, CI/CD. Channel placements: Indian DevOps and cloud channels. Exclude kids/learning-only content.</t>
        </is>
      </c>
      <c r="E8" s="67" t="inlineStr">
        <is>
          <t>In-stream (skippable), in-feed, Shorts</t>
        </is>
      </c>
      <c r="F8" s="67" t="inlineStr">
        <is>
          <t>60–90s VSL cut, 30s CTO video, 15s Shorts, 6s bumper (retargeting)</t>
        </is>
      </c>
      <c r="G8" s="83" t="n">
        <v>3</v>
      </c>
      <c r="H8" s="87">
        <f>Budget!B28</f>
        <v>46304.0</v>
      </c>
      <c r="I8" s="87">
        <f>Budget!C30</f>
        <v>46321.0</v>
      </c>
      <c r="J8" s="75">
        <f>Budget!F8</f>
        <v>26250.0</v>
      </c>
      <c r="K8" s="75">
        <f>IFERROR(J8/(I8-H8+1),0)</f>
        <v>1458.3333333333333</v>
      </c>
      <c r="L8" s="69">
        <f>Budget!B8</f>
        <v>35.0</v>
      </c>
      <c r="M8" s="67" t="inlineStr">
        <is>
          <t>New first 5 seconds (hook) every week. Bumper to VSL viewers from 21-Oct.</t>
        </is>
      </c>
    </row>
    <row r="9">
      <c r="A9" s="65" t="inlineStr">
        <is>
          <t>Google</t>
        </is>
      </c>
      <c r="B9" s="65" t="inlineStr">
        <is>
          <t>G1 Search</t>
        </is>
      </c>
      <c r="C9" s="67" t="inlineStr">
        <is>
          <t>Search, maximise conversions. Switch to target CPA ₹950 after 15 registrations.</t>
        </is>
      </c>
      <c r="D9" s="67" t="inlineStr">
        <is>
          <t>3 ad groups. (1) Cloud architecture: 'cloud architecture webinar', 'cloud architecture best practices'. (2) DevOps/SRE: 'devops webinar', 'sre best practices', 'platform engineering'. (3) Build vs buy: 'build vs buy software', 'in-house vs outsourcing devops'. Phrase + exact. Negatives: jobs, salary, course, certification, interview, training institute, free download.</t>
        </is>
      </c>
      <c r="E9" s="67" t="inlineStr">
        <is>
          <t>Google Search only (no Display)</t>
        </is>
      </c>
      <c r="F9" s="67" t="inlineStr">
        <is>
          <t>3 responsive search ads + sitelinks (Agenda, Speakers, Register)</t>
        </is>
      </c>
      <c r="G9" s="83" t="n">
        <v>3</v>
      </c>
      <c r="H9" s="87">
        <f>Budget!B28</f>
        <v>46304.0</v>
      </c>
      <c r="I9" s="87">
        <f>Budget!C30</f>
        <v>46321.0</v>
      </c>
      <c r="J9" s="75">
        <f>Budget!F9</f>
        <v>28500.0</v>
      </c>
      <c r="K9" s="75">
        <f>IFERROR(J9/(I9-H9+1),0)</f>
        <v>1583.3333333333333</v>
      </c>
      <c r="L9" s="69">
        <f>Budget!B9</f>
        <v>30.0</v>
      </c>
      <c r="M9" s="67" t="inlineStr">
        <is>
          <t>Check search terms every 2 days, add negatives.</t>
        </is>
      </c>
    </row>
    <row r="10">
      <c r="A10" s="65" t="inlineStr">
        <is>
          <t>LinkedIn</t>
        </is>
      </c>
      <c r="B10" s="65" t="inlineStr">
        <is>
          <t>L1 Lead Gen Form (paused)</t>
        </is>
      </c>
      <c r="C10" s="67" t="inlineStr">
        <is>
          <t>Paused for the pilot.</t>
        </is>
      </c>
      <c r="D10" s="67" t="inlineStr">
        <is>
          <t>Job titles from the Audience tab, 10–15 years experience, company size 51+.</t>
        </is>
      </c>
      <c r="E10" s="67" t="inlineStr">
        <is>
          <t>Feed</t>
        </is>
      </c>
      <c r="F10" s="67" t="inlineStr">
        <is>
          <t>Speaker card, document ad</t>
        </is>
      </c>
      <c r="G10" s="83" t="n">
        <v>0</v>
      </c>
      <c r="H10" s="87">
        <f>Budget!B28</f>
        <v>46304.0</v>
      </c>
      <c r="I10" s="87">
        <f>Budget!C30</f>
        <v>46321.0</v>
      </c>
      <c r="J10" s="75">
        <f>Budget!F10</f>
        <v>0.0</v>
      </c>
      <c r="K10" s="75">
        <f>IFERROR(J10/(I10-H10+1),0)</f>
        <v>0.0</v>
      </c>
      <c r="L10" s="69">
        <f>Budget!B10</f>
        <v>0.0</v>
      </c>
      <c r="M10" s="67" t="inlineStr">
        <is>
          <t>Switch on via the Budget tab if the CEO wants senior-only reach.</t>
        </is>
      </c>
    </row>
    <row r="11">
      <c r="A11" s="76" t="inlineStr">
        <is>
          <t>Total</t>
        </is>
      </c>
      <c r="B11" s="79" t="inlineStr"/>
      <c r="C11" s="79" t="inlineStr"/>
      <c r="D11" s="79" t="inlineStr"/>
      <c r="E11" s="79" t="inlineStr"/>
      <c r="F11" s="79" t="inlineStr"/>
      <c r="G11" s="85">
        <f>SUM(G4:G10)</f>
        <v>19.0</v>
      </c>
      <c r="H11" s="79" t="inlineStr"/>
      <c r="I11" s="79" t="inlineStr"/>
      <c r="J11" s="78">
        <f>SUM(J4:J10)</f>
        <v>137750.0</v>
      </c>
      <c r="K11" s="78">
        <f>SUM(K4:K10)</f>
        <v>7780.982905982905</v>
      </c>
      <c r="L11" s="77">
        <f>SUM(L4:L10)</f>
        <v>190.0</v>
      </c>
      <c r="M11" s="79" t="inlineStr"/>
    </row>
    <row r="12">
      <c r="A12" s="63" t="inlineStr">
        <is>
          <t>M1–M3 split Meta's new-audience budget 45% / 30% / 25%. Totals match the paid rows on the Budget tab.</t>
        </is>
      </c>
    </row>
    <row r="14">
      <c r="A14" s="80" t="inlineStr">
        <is>
          <t>How often we check and change things</t>
        </is>
      </c>
    </row>
    <row r="15">
      <c r="A15" s="64" t="inlineStr">
        <is>
          <t>When</t>
        </is>
      </c>
      <c r="B15" s="64" t="inlineStr">
        <is>
          <t>What</t>
        </is>
      </c>
      <c r="C15" s="72" t="n"/>
      <c r="D15" s="64" t="inlineStr">
        <is>
          <t>Rule</t>
        </is>
      </c>
    </row>
    <row r="16">
      <c r="A16" s="65" t="inlineStr">
        <is>
          <t>Every day, 10 AM</t>
        </is>
      </c>
      <c r="B16" s="67" t="inlineStr">
        <is>
          <t>Check cost per registration, CTR and frequency for every ad</t>
        </is>
      </c>
      <c r="C16" s="72" t="n"/>
      <c r="D16" s="67" t="inlineStr">
        <is>
          <t>Pause any ad over 1.5× the target CPL after spending 2× the target CPL.</t>
        </is>
      </c>
    </row>
    <row r="17">
      <c r="A17" s="65" t="inlineStr">
        <is>
          <t>Every 2 days</t>
        </is>
      </c>
      <c r="B17" s="67" t="inlineStr">
        <is>
          <t>Move money between ad sets and platforms; add Google negative keywords</t>
        </is>
      </c>
      <c r="C17" s="72" t="n"/>
      <c r="D17" s="67" t="inlineStr">
        <is>
          <t>Move money to the lowest cost per registration.</t>
        </is>
      </c>
    </row>
    <row r="18">
      <c r="A18" s="65" t="inlineStr">
        <is>
          <t>Every 4–5 days (14, 18, 21 Oct)</t>
        </is>
      </c>
      <c r="B18" s="67" t="inlineStr">
        <is>
          <t>Add 3 new creatives (new hooks on winning formats)</t>
        </is>
      </c>
      <c r="C18" s="72" t="n"/>
      <c r="D18" s="67" t="inlineStr">
        <is>
          <t>Keep 3–4 ads per ad set; never more than 6.</t>
        </is>
      </c>
    </row>
    <row r="19">
      <c r="A19" s="65" t="inlineStr">
        <is>
          <t>Every Monday</t>
        </is>
      </c>
      <c r="B19" s="67" t="inlineStr">
        <is>
          <t>Registration count and spend to CEO (12, 19, 26 Oct)</t>
        </is>
      </c>
      <c r="C19" s="72" t="n"/>
      <c r="D19" s="67" t="inlineStr">
        <is>
          <t>Use the Daily Plan tab as the target.</t>
        </is>
      </c>
    </row>
    <row r="20">
      <c r="A20" s="65" t="inlineStr">
        <is>
          <t>Tue 13-Oct</t>
        </is>
      </c>
      <c r="B20" s="67" t="inlineStr">
        <is>
          <t>Test review with CEO</t>
        </is>
      </c>
      <c r="C20" s="72" t="n"/>
      <c r="D20" s="67" t="inlineStr">
        <is>
          <t>Release the scale budget only if test gates pass (Budget tab).</t>
        </is>
      </c>
    </row>
    <row r="21">
      <c r="A21" s="65" t="inlineStr">
        <is>
          <t>Sat 24-Oct</t>
        </is>
      </c>
      <c r="B21" s="67" t="inlineStr">
        <is>
          <t>Switch to countdown creatives</t>
        </is>
      </c>
      <c r="C21" s="72" t="n"/>
      <c r="D21" s="67" t="inlineStr">
        <is>
          <t>Retargeting gets 60% of the last-call budget.</t>
        </is>
      </c>
    </row>
  </sheetData>
  <mergeCells count="7">
    <mergeCell ref="B21:C21"/>
    <mergeCell ref="B16:C16"/>
    <mergeCell ref="B15:C15"/>
    <mergeCell ref="B19:C19"/>
    <mergeCell ref="B20:C20"/>
    <mergeCell ref="B17:C17"/>
    <mergeCell ref="B18:C18"/>
  </mergeCell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39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6" customWidth="1" min="2" max="2"/>
    <col width="20" customWidth="1" min="3" max="3"/>
    <col width="18" customWidth="1" min="4" max="4"/>
    <col width="22" customWidth="1" min="5" max="5"/>
    <col width="14" customWidth="1" min="6" max="6"/>
    <col width="46" customWidth="1" min="7" max="7"/>
    <col width="56" customWidth="1" min="8" max="8"/>
    <col width="14" customWidth="1" min="9" max="9"/>
    <col width="12" customWidth="1" min="10" max="10"/>
    <col width="12" customWidth="1" min="11" max="11"/>
  </cols>
  <sheetData>
    <row r="1">
      <c r="A1" s="61" t="inlineStr">
        <is>
          <t>Creative plan: videos, statics and carousels</t>
        </is>
      </c>
    </row>
    <row r="2">
      <c r="A2" s="63" t="inlineStr">
        <is>
          <t>Creative is the main lever for a mass audience. One 2-hour shoot on Mon 5 or Tue 6 Oct produces all the videos.</t>
        </is>
      </c>
    </row>
    <row r="3">
      <c r="A3" s="64" t="inlineStr">
        <is>
          <t>ID</t>
        </is>
      </c>
      <c r="B3" s="64" t="inlineStr">
        <is>
          <t>Creative</t>
        </is>
      </c>
      <c r="C3" s="64" t="inlineStr">
        <is>
          <t>Format and length</t>
        </is>
      </c>
      <c r="D3" s="64" t="inlineStr">
        <is>
          <t>Size / ratio</t>
        </is>
      </c>
      <c r="E3" s="64" t="inlineStr">
        <is>
          <t>Platform</t>
        </is>
      </c>
      <c r="F3" s="64" t="inlineStr">
        <is>
          <t>Audience stage</t>
        </is>
      </c>
      <c r="G3" s="64" t="inlineStr">
        <is>
          <t>Hook (first 3 seconds / headline)</t>
        </is>
      </c>
      <c r="H3" s="64" t="inlineStr">
        <is>
          <t>What it shows</t>
        </is>
      </c>
      <c r="I3" s="64" t="inlineStr">
        <is>
          <t>Who</t>
        </is>
      </c>
      <c r="J3" s="64" t="inlineStr">
        <is>
          <t>Ready by</t>
        </is>
      </c>
      <c r="K3" s="64" t="inlineStr">
        <is>
          <t>First live</t>
        </is>
      </c>
    </row>
    <row r="4">
      <c r="A4" s="65" t="inlineStr">
        <is>
          <t>V1</t>
        </is>
      </c>
      <c r="B4" s="65" t="inlineStr">
        <is>
          <t>Main VSL (landing page video)</t>
        </is>
      </c>
      <c r="C4" s="67" t="inlineStr">
        <is>
          <t>Video, 3–4 min</t>
        </is>
      </c>
      <c r="D4" s="67" t="inlineStr">
        <is>
          <t>16:9</t>
        </is>
      </c>
      <c r="E4" s="67" t="inlineStr">
        <is>
          <t>VSL page, YouTube retargeting</t>
        </is>
      </c>
      <c r="F4" s="67" t="inlineStr">
        <is>
          <t>Warm</t>
        </is>
      </c>
      <c r="G4" s="67" t="inlineStr">
        <is>
          <t>"Every engineer gets asked one day: should we build this, buy it, or hand it off? Here's how a CTO decides."</t>
        </is>
      </c>
      <c r="H4" s="67" t="inlineStr">
        <is>
          <t>Full script on the VSL Funnel tab. CTO on camera, CEO intro, 1 of the 5 questions taught in full.</t>
        </is>
      </c>
      <c r="I4" s="67" t="inlineStr">
        <is>
          <t>CTO + CEO</t>
        </is>
      </c>
      <c r="J4" s="87" t="n">
        <v>46303</v>
      </c>
      <c r="K4" s="87" t="n">
        <v>46304</v>
      </c>
    </row>
    <row r="5">
      <c r="A5" s="65" t="inlineStr">
        <is>
          <t>V2</t>
        </is>
      </c>
      <c r="B5" s="65" t="inlineStr">
        <is>
          <t>YouTube VSL cut</t>
        </is>
      </c>
      <c r="C5" s="67" t="inlineStr">
        <is>
          <t>Video, 60–90 s, skippable</t>
        </is>
      </c>
      <c r="D5" s="67" t="inlineStr">
        <is>
          <t>16:9</t>
        </is>
      </c>
      <c r="E5" s="67" t="inlineStr">
        <is>
          <t>YouTube in-stream / in-feed</t>
        </is>
      </c>
      <c r="F5" s="67" t="inlineStr">
        <is>
          <t>Cold</t>
        </is>
      </c>
      <c r="G5" s="67" t="inlineStr">
        <is>
          <t>"SRE or DevOps engineer? You've been asked to build something you should have bought."</t>
        </is>
      </c>
      <c r="H5" s="67" t="inlineStr">
        <is>
          <t>Hook, 1 real example, the promise of 5 questions, date, register CTA. Name and face in the first 5 seconds.</t>
        </is>
      </c>
      <c r="I5" s="67" t="inlineStr">
        <is>
          <t>CTO</t>
        </is>
      </c>
      <c r="J5" s="87" t="n">
        <v>46303</v>
      </c>
      <c r="K5" s="87" t="n">
        <v>46304</v>
      </c>
    </row>
    <row r="6">
      <c r="A6" s="65" t="inlineStr">
        <is>
          <t>V3</t>
        </is>
      </c>
      <c r="B6" s="65" t="inlineStr">
        <is>
          <t>CTO talking head</t>
        </is>
      </c>
      <c r="C6" s="67" t="inlineStr">
        <is>
          <t>Video, 30 s</t>
        </is>
      </c>
      <c r="D6" s="67" t="inlineStr">
        <is>
          <t>9:16 + 4:5</t>
        </is>
      </c>
      <c r="E6" s="67" t="inlineStr">
        <is>
          <t>Meta Reels / Feed</t>
        </is>
      </c>
      <c r="F6" s="67" t="inlineStr">
        <is>
          <t>Cold</t>
        </is>
      </c>
      <c r="G6" s="67" t="inlineStr">
        <is>
          <t>"15 years, ex-Microsoft. The #1 mistake I see engineers make when they pick a tool."</t>
        </is>
      </c>
      <c r="H6" s="67" t="inlineStr">
        <is>
          <t>One mistake, why it costs, invite to the live session. Burned-in captions.</t>
        </is>
      </c>
      <c r="I6" s="67" t="inlineStr">
        <is>
          <t>CTO</t>
        </is>
      </c>
      <c r="J6" s="87" t="n">
        <v>46303</v>
      </c>
      <c r="K6" s="87" t="n">
        <v>46304</v>
      </c>
    </row>
    <row r="7">
      <c r="A7" s="65" t="inlineStr">
        <is>
          <t>V4</t>
        </is>
      </c>
      <c r="B7" s="65" t="inlineStr">
        <is>
          <t>CEO talking head</t>
        </is>
      </c>
      <c r="C7" s="67" t="inlineStr">
        <is>
          <t>Video, 30 s</t>
        </is>
      </c>
      <c r="D7" s="67" t="inlineStr">
        <is>
          <t>4:5</t>
        </is>
      </c>
      <c r="E7" s="67" t="inlineStr">
        <is>
          <t>Meta Feed</t>
        </is>
      </c>
      <c r="F7" s="67" t="inlineStr">
        <is>
          <t>Cold</t>
        </is>
      </c>
      <c r="G7" s="67" t="inlineStr">
        <is>
          <t>"Our best engineers think like CTOs. Here's the one habit they share."</t>
        </is>
      </c>
      <c r="H7" s="67" t="inlineStr">
        <is>
          <t>Habit, why it matters for their career, invite.</t>
        </is>
      </c>
      <c r="I7" s="67" t="inlineStr">
        <is>
          <t>CEO</t>
        </is>
      </c>
      <c r="J7" s="87" t="n">
        <v>46303</v>
      </c>
      <c r="K7" s="87" t="n">
        <v>46304</v>
      </c>
    </row>
    <row r="8">
      <c r="A8" s="65" t="inlineStr">
        <is>
          <t>V5</t>
        </is>
      </c>
      <c r="B8" s="65" t="inlineStr">
        <is>
          <t>Myth vs fact reel</t>
        </is>
      </c>
      <c r="C8" s="67" t="inlineStr">
        <is>
          <t>Video, 15 s, text on screen</t>
        </is>
      </c>
      <c r="D8" s="67" t="inlineStr">
        <is>
          <t>9:16</t>
        </is>
      </c>
      <c r="E8" s="67" t="inlineStr">
        <is>
          <t>IG Reels, YouTube Shorts</t>
        </is>
      </c>
      <c r="F8" s="67" t="inlineStr">
        <is>
          <t>Cold</t>
        </is>
      </c>
      <c r="G8" s="67" t="inlineStr">
        <is>
          <t>"Myth: building it in-house is always cheaper."</t>
        </is>
      </c>
      <c r="H8" s="67" t="inlineStr">
        <is>
          <t>3 quick myth/fact cards over b-roll of dashboards and code, end card with date.</t>
        </is>
      </c>
      <c r="I8" s="67" t="inlineStr">
        <is>
          <t>Editor</t>
        </is>
      </c>
      <c r="J8" s="87" t="n">
        <v>46303</v>
      </c>
      <c r="K8" s="87" t="n">
        <v>46304</v>
      </c>
    </row>
    <row r="9">
      <c r="A9" s="65" t="inlineStr">
        <is>
          <t>V6</t>
        </is>
      </c>
      <c r="B9" s="65" t="inlineStr">
        <is>
          <t>Whiteboard explainer</t>
        </is>
      </c>
      <c r="C9" s="67" t="inlineStr">
        <is>
          <t>Video, 45 s</t>
        </is>
      </c>
      <c r="D9" s="67" t="inlineStr">
        <is>
          <t>9:16 + 16:9</t>
        </is>
      </c>
      <c r="E9" s="67" t="inlineStr">
        <is>
          <t>Meta, YouTube</t>
        </is>
      </c>
      <c r="F9" s="67" t="inlineStr">
        <is>
          <t>Cold</t>
        </is>
      </c>
      <c r="G9" s="67" t="inlineStr">
        <is>
          <t>"Build, buy or partner: here's the 2×2 a CTO draws first."</t>
        </is>
      </c>
      <c r="H9" s="67" t="inlineStr">
        <is>
          <t>CTO draws the matrix on a whiteboard or iPad and places 3 examples (CI/CD, monitoring, data platform).</t>
        </is>
      </c>
      <c r="I9" s="67" t="inlineStr">
        <is>
          <t>CTO</t>
        </is>
      </c>
      <c r="J9" s="87" t="n">
        <v>46303</v>
      </c>
      <c r="K9" s="87" t="n">
        <v>46309</v>
      </c>
    </row>
    <row r="10">
      <c r="A10" s="65" t="inlineStr">
        <is>
          <t>V7</t>
        </is>
      </c>
      <c r="B10" s="65" t="inlineStr">
        <is>
          <t>Engineer POV (selfie style)</t>
        </is>
      </c>
      <c r="C10" s="67" t="inlineStr">
        <is>
          <t>Video, 20–30 s</t>
        </is>
      </c>
      <c r="D10" s="67" t="inlineStr">
        <is>
          <t>9:16</t>
        </is>
      </c>
      <c r="E10" s="67" t="inlineStr">
        <is>
          <t>Meta Reels, Shorts</t>
        </is>
      </c>
      <c r="F10" s="67" t="inlineStr">
        <is>
          <t>Cold</t>
        </is>
      </c>
      <c r="G10" s="67" t="inlineStr">
        <is>
          <t>"I was the DevOps guy who said 'we'll just build it'. Six months later…"</t>
        </is>
      </c>
      <c r="H10" s="67" t="inlineStr">
        <is>
          <t>A Zarthi engineer tells a true short story, phone-shot, natural light. Feels native, not like an ad.</t>
        </is>
      </c>
      <c r="I10" s="67" t="inlineStr">
        <is>
          <t>Zarthi engineer</t>
        </is>
      </c>
      <c r="J10" s="87" t="n">
        <v>46308</v>
      </c>
      <c r="K10" s="87" t="n">
        <v>46309</v>
      </c>
    </row>
    <row r="11">
      <c r="A11" s="65" t="inlineStr">
        <is>
          <t>V8</t>
        </is>
      </c>
      <c r="B11" s="65" t="inlineStr">
        <is>
          <t>CEO + CTO podcast clip</t>
        </is>
      </c>
      <c r="C11" s="67" t="inlineStr">
        <is>
          <t>Video, 30–45 s</t>
        </is>
      </c>
      <c r="D11" s="67" t="inlineStr">
        <is>
          <t>1:1 + 9:16</t>
        </is>
      </c>
      <c r="E11" s="67" t="inlineStr">
        <is>
          <t>Meta, YouTube</t>
        </is>
      </c>
      <c r="F11" s="67" t="inlineStr">
        <is>
          <t>Cold / warm</t>
        </is>
      </c>
      <c r="G11" s="67" t="inlineStr">
        <is>
          <t>CEO: "Would you let your team build its own monitoring stack?" CTO: "Only if…"</t>
        </is>
      </c>
      <c r="H11" s="67" t="inlineStr">
        <is>
          <t>Two-person conversation clip cut from the shoot. Captions on.</t>
        </is>
      </c>
      <c r="I11" s="67" t="inlineStr">
        <is>
          <t>CEO + CTO</t>
        </is>
      </c>
      <c r="J11" s="87" t="n">
        <v>46308</v>
      </c>
      <c r="K11" s="87" t="n">
        <v>46313</v>
      </c>
    </row>
    <row r="12">
      <c r="A12" s="65" t="inlineStr">
        <is>
          <t>V9</t>
        </is>
      </c>
      <c r="B12" s="65" t="inlineStr">
        <is>
          <t>YouTube bumper</t>
        </is>
      </c>
      <c r="C12" s="67" t="inlineStr">
        <is>
          <t>Video, 6 s, non-skippable</t>
        </is>
      </c>
      <c r="D12" s="67" t="inlineStr">
        <is>
          <t>16:9</t>
        </is>
      </c>
      <c r="E12" s="67" t="inlineStr">
        <is>
          <t>YouTube retargeting</t>
        </is>
      </c>
      <c r="F12" s="67" t="inlineStr">
        <is>
          <t>Warm</t>
        </is>
      </c>
      <c r="G12" s="67" t="inlineStr">
        <is>
          <t>"Build, buy or partner? Free CTO session, Tue 27 Oct, 4 PM."</t>
        </is>
      </c>
      <c r="H12" s="67" t="inlineStr">
        <is>
          <t>Logo-free, speaker face, date, CTA.</t>
        </is>
      </c>
      <c r="I12" s="67" t="inlineStr">
        <is>
          <t>Editor</t>
        </is>
      </c>
      <c r="J12" s="87" t="n">
        <v>46313</v>
      </c>
      <c r="K12" s="87" t="n">
        <v>46316</v>
      </c>
    </row>
    <row r="13">
      <c r="A13" s="65" t="inlineStr">
        <is>
          <t>V10</t>
        </is>
      </c>
      <c r="B13" s="65" t="inlineStr">
        <is>
          <t>Countdown video</t>
        </is>
      </c>
      <c r="C13" s="67" t="inlineStr">
        <is>
          <t>Video, 10 s, 3 versions</t>
        </is>
      </c>
      <c r="D13" s="67" t="inlineStr">
        <is>
          <t>9:16 + 4:5</t>
        </is>
      </c>
      <c r="E13" s="67" t="inlineStr">
        <is>
          <t>Meta + YouTube retargeting</t>
        </is>
      </c>
      <c r="F13" s="67" t="inlineStr">
        <is>
          <t>Hot</t>
        </is>
      </c>
      <c r="G13" s="67" t="inlineStr">
        <is>
          <t>"3 days left" / "Tomorrow, 4 PM" / "Today, 4 PM: join link inside"</t>
        </is>
      </c>
      <c r="H13" s="67" t="inlineStr">
        <is>
          <t>Speaker face, seats-left line (Zoom holds 100), CTA.</t>
        </is>
      </c>
      <c r="I13" s="67" t="inlineStr">
        <is>
          <t>Editor</t>
        </is>
      </c>
      <c r="J13" s="87" t="n">
        <v>46317</v>
      </c>
      <c r="K13" s="87" t="n">
        <v>46319</v>
      </c>
    </row>
    <row r="14">
      <c r="A14" s="65" t="inlineStr">
        <is>
          <t>S1</t>
        </is>
      </c>
      <c r="B14" s="65" t="inlineStr">
        <is>
          <t>Speaker card</t>
        </is>
      </c>
      <c r="C14" s="67" t="inlineStr">
        <is>
          <t>Static</t>
        </is>
      </c>
      <c r="D14" s="67" t="inlineStr">
        <is>
          <t>1080×1350, 1080×1920</t>
        </is>
      </c>
      <c r="E14" s="67" t="inlineStr">
        <is>
          <t>Meta, YouTube Demand Gen</t>
        </is>
      </c>
      <c r="F14" s="67" t="inlineStr">
        <is>
          <t>Cold</t>
        </is>
      </c>
      <c r="G14" s="67" t="inlineStr">
        <is>
          <t>"Think Like a CTO: Build, Buy or Partner?"</t>
        </is>
      </c>
      <c r="H14" s="67" t="inlineStr">
        <is>
          <t>CTO + CEO photos, credentials, date, 'Free live session'.</t>
        </is>
      </c>
      <c r="I14" s="67" t="inlineStr">
        <is>
          <t>Designer</t>
        </is>
      </c>
      <c r="J14" s="87" t="n">
        <v>46302</v>
      </c>
      <c r="K14" s="87" t="n">
        <v>46304</v>
      </c>
    </row>
    <row r="15">
      <c r="A15" s="65" t="inlineStr">
        <is>
          <t>S2</t>
        </is>
      </c>
      <c r="B15" s="65" t="inlineStr">
        <is>
          <t>Question hook</t>
        </is>
      </c>
      <c r="C15" s="67" t="inlineStr">
        <is>
          <t>Static</t>
        </is>
      </c>
      <c r="D15" s="67" t="inlineStr">
        <is>
          <t>1080×1350</t>
        </is>
      </c>
      <c r="E15" s="67" t="inlineStr">
        <is>
          <t>Meta</t>
        </is>
      </c>
      <c r="F15" s="67" t="inlineStr">
        <is>
          <t>Cold</t>
        </is>
      </c>
      <c r="G15" s="67" t="inlineStr">
        <is>
          <t>"Would you build your own monitoring stack in 2026?"</t>
        </is>
      </c>
      <c r="H15" s="67" t="inlineStr">
        <is>
          <t>Big question, small answer line: 'A CTO asks 5 questions first. Learn them live.'</t>
        </is>
      </c>
      <c r="I15" s="67" t="inlineStr">
        <is>
          <t>Designer</t>
        </is>
      </c>
      <c r="J15" s="87" t="n">
        <v>46302</v>
      </c>
      <c r="K15" s="87" t="n">
        <v>46304</v>
      </c>
    </row>
    <row r="16">
      <c r="A16" s="65" t="inlineStr">
        <is>
          <t>S3</t>
        </is>
      </c>
      <c r="B16" s="65" t="inlineStr">
        <is>
          <t>Benefits card</t>
        </is>
      </c>
      <c r="C16" s="67" t="inlineStr">
        <is>
          <t>Static</t>
        </is>
      </c>
      <c r="D16" s="67" t="inlineStr">
        <is>
          <t>1080×1350, 1080×1080</t>
        </is>
      </c>
      <c r="E16" s="67" t="inlineStr">
        <is>
          <t>Meta, Google Demand Gen</t>
        </is>
      </c>
      <c r="F16" s="67" t="inlineStr">
        <is>
          <t>Cold / warm</t>
        </is>
      </c>
      <c r="G16" s="67" t="inlineStr">
        <is>
          <t>"What you get: CTO checklist + certificate + ₹5,000 lucky draw"</t>
        </is>
      </c>
      <c r="H16" s="67" t="inlineStr">
        <is>
          <t>3 icons with the benefits from the Benefits tab, date, CTA.</t>
        </is>
      </c>
      <c r="I16" s="67" t="inlineStr">
        <is>
          <t>Designer</t>
        </is>
      </c>
      <c r="J16" s="87" t="n">
        <v>46302</v>
      </c>
      <c r="K16" s="87" t="n">
        <v>46304</v>
      </c>
    </row>
    <row r="17">
      <c r="A17" s="65" t="inlineStr">
        <is>
          <t>S4</t>
        </is>
      </c>
      <c r="B17" s="65" t="inlineStr">
        <is>
          <t>Checklist preview</t>
        </is>
      </c>
      <c r="C17" s="67" t="inlineStr">
        <is>
          <t>Static</t>
        </is>
      </c>
      <c r="D17" s="67" t="inlineStr">
        <is>
          <t>1080×1350</t>
        </is>
      </c>
      <c r="E17" s="67" t="inlineStr">
        <is>
          <t>Meta</t>
        </is>
      </c>
      <c r="F17" s="67" t="inlineStr">
        <is>
          <t>Warm</t>
        </is>
      </c>
      <c r="G17" s="67" t="inlineStr">
        <is>
          <t>"The 5 questions a CTO asks before building anything (question 1 inside)"</t>
        </is>
      </c>
      <c r="H17" s="67" t="inlineStr">
        <is>
          <t>Page of the checklist with questions 2–5 blurred.</t>
        </is>
      </c>
      <c r="I17" s="67" t="inlineStr">
        <is>
          <t>Designer</t>
        </is>
      </c>
      <c r="J17" s="87" t="n">
        <v>46307</v>
      </c>
      <c r="K17" s="87" t="n">
        <v>46309</v>
      </c>
    </row>
    <row r="18">
      <c r="A18" s="65" t="inlineStr">
        <is>
          <t>S5</t>
        </is>
      </c>
      <c r="B18" s="65" t="inlineStr">
        <is>
          <t>Countdown statics</t>
        </is>
      </c>
      <c r="C18" s="67" t="inlineStr">
        <is>
          <t>Static, 3 versions</t>
        </is>
      </c>
      <c r="D18" s="67" t="inlineStr">
        <is>
          <t>1080×1350, 1080×1920</t>
        </is>
      </c>
      <c r="E18" s="67" t="inlineStr">
        <is>
          <t>Meta retargeting</t>
        </is>
      </c>
      <c r="F18" s="67" t="inlineStr">
        <is>
          <t>Hot</t>
        </is>
      </c>
      <c r="G18" s="67" t="inlineStr">
        <is>
          <t>"7 days left" / "Tomorrow" / "Today, 4 PM"</t>
        </is>
      </c>
      <c r="H18" s="67" t="inlineStr">
        <is>
          <t>Date, time, speaker faces.</t>
        </is>
      </c>
      <c r="I18" s="67" t="inlineStr">
        <is>
          <t>Designer</t>
        </is>
      </c>
      <c r="J18" s="87" t="n">
        <v>46314</v>
      </c>
      <c r="K18" s="87" t="n">
        <v>46315</v>
      </c>
    </row>
    <row r="19">
      <c r="A19" s="65" t="inlineStr">
        <is>
          <t>S6</t>
        </is>
      </c>
      <c r="B19" s="65" t="inlineStr">
        <is>
          <t>Social proof</t>
        </is>
      </c>
      <c r="C19" s="67" t="inlineStr">
        <is>
          <t>Static</t>
        </is>
      </c>
      <c r="D19" s="67" t="inlineStr">
        <is>
          <t>1080×1350</t>
        </is>
      </c>
      <c r="E19" s="67" t="inlineStr">
        <is>
          <t>Meta retargeting</t>
        </is>
      </c>
      <c r="F19" s="67" t="inlineStr">
        <is>
          <t>Warm / hot</t>
        </is>
      </c>
      <c r="G19" s="67" t="inlineStr">
        <is>
          <t>"[real number]+ engineers already registered"</t>
        </is>
      </c>
      <c r="H19" s="67" t="inlineStr">
        <is>
          <t>Use the real count only, updated before each refresh.</t>
        </is>
      </c>
      <c r="I19" s="67" t="inlineStr">
        <is>
          <t>Designer</t>
        </is>
      </c>
      <c r="J19" s="87" t="n">
        <v>46312</v>
      </c>
      <c r="K19" s="87" t="n">
        <v>46313</v>
      </c>
    </row>
    <row r="20">
      <c r="A20" s="65" t="inlineStr">
        <is>
          <t>C1</t>
        </is>
      </c>
      <c r="B20" s="65" t="inlineStr">
        <is>
          <t>Carousel: 5 questions</t>
        </is>
      </c>
      <c r="C20" s="67" t="inlineStr">
        <is>
          <t>Carousel, 6 cards</t>
        </is>
      </c>
      <c r="D20" s="67" t="inlineStr">
        <is>
          <t>1080×1080</t>
        </is>
      </c>
      <c r="E20" s="67" t="inlineStr">
        <is>
          <t>Meta</t>
        </is>
      </c>
      <c r="F20" s="67" t="inlineStr">
        <is>
          <t>Cold</t>
        </is>
      </c>
      <c r="G20" s="67" t="inlineStr">
        <is>
          <t>Card 1: "5 questions a CTO asks before building anything"</t>
        </is>
      </c>
      <c r="H20" s="67" t="inlineStr">
        <is>
          <t>Cards 2–5: one question each (keep question 5 for the live session); card 6: register CTA.</t>
        </is>
      </c>
      <c r="I20" s="67" t="inlineStr">
        <is>
          <t>Designer</t>
        </is>
      </c>
      <c r="J20" s="87" t="n">
        <v>46302</v>
      </c>
      <c r="K20" s="87" t="n">
        <v>46304</v>
      </c>
    </row>
    <row r="21">
      <c r="A21" s="65" t="inlineStr">
        <is>
          <t>C2</t>
        </is>
      </c>
      <c r="B21" s="65" t="inlineStr">
        <is>
          <t>Carousel: 3 real cases</t>
        </is>
      </c>
      <c r="C21" s="67" t="inlineStr">
        <is>
          <t>Carousel, 5 cards</t>
        </is>
      </c>
      <c r="D21" s="67" t="inlineStr">
        <is>
          <t>1080×1080</t>
        </is>
      </c>
      <c r="E21" s="67" t="inlineStr">
        <is>
          <t>Meta</t>
        </is>
      </c>
      <c r="F21" s="67" t="inlineStr">
        <is>
          <t>Cold</t>
        </is>
      </c>
      <c r="G21" s="67" t="inlineStr">
        <is>
          <t>Card 1: "Build vs buy vs partner: 3 real decisions"</t>
        </is>
      </c>
      <c r="H21" s="67" t="inlineStr">
        <is>
          <t>CI/CD, monitoring, data platform: what was chosen and why. Last card: register.</t>
        </is>
      </c>
      <c r="I21" s="67" t="inlineStr">
        <is>
          <t>Designer</t>
        </is>
      </c>
      <c r="J21" s="87" t="n">
        <v>46307</v>
      </c>
      <c r="K21" s="87" t="n">
        <v>46309</v>
      </c>
    </row>
    <row r="22">
      <c r="A22" s="65" t="inlineStr">
        <is>
          <t>C3</t>
        </is>
      </c>
      <c r="B22" s="65" t="inlineStr">
        <is>
          <t>Carousel: engineer to CTO</t>
        </is>
      </c>
      <c r="C22" s="67" t="inlineStr">
        <is>
          <t>Carousel, 6 cards</t>
        </is>
      </c>
      <c r="D22" s="67" t="inlineStr">
        <is>
          <t>1080×1080</t>
        </is>
      </c>
      <c r="E22" s="67" t="inlineStr">
        <is>
          <t>Meta</t>
        </is>
      </c>
      <c r="F22" s="67" t="inlineStr">
        <is>
          <t>Cold</t>
        </is>
      </c>
      <c r="G22" s="67" t="inlineStr">
        <is>
          <t>Card 1: "5 mindset shifts from engineer to CTO"</t>
        </is>
      </c>
      <c r="H22" s="67" t="inlineStr">
        <is>
          <t>One shift per card, CTA on the last card. Career-growth angle for younger engineers.</t>
        </is>
      </c>
      <c r="I22" s="67" t="inlineStr">
        <is>
          <t>Designer</t>
        </is>
      </c>
      <c r="J22" s="87" t="n">
        <v>46311</v>
      </c>
      <c r="K22" s="87" t="n">
        <v>46313</v>
      </c>
    </row>
    <row r="23">
      <c r="A23" s="65" t="inlineStr">
        <is>
          <t>G1</t>
        </is>
      </c>
      <c r="B23" s="65" t="inlineStr">
        <is>
          <t>Google search ads</t>
        </is>
      </c>
      <c r="C23" s="67" t="inlineStr">
        <is>
          <t>Text: 15 headlines, 4 descriptions per ad group</t>
        </is>
      </c>
      <c r="D23" s="67" t="inlineStr">
        <is>
          <t>-</t>
        </is>
      </c>
      <c r="E23" s="67" t="inlineStr">
        <is>
          <t>Google Search</t>
        </is>
      </c>
      <c r="F23" s="67" t="inlineStr">
        <is>
          <t>Intent</t>
        </is>
      </c>
      <c r="G23" s="67" t="inlineStr">
        <is>
          <t>"Free CTO Webinar, 27 Oct" | "Build, Buy or Partner?" | "For SRE &amp; DevOps Engineers"</t>
        </is>
      </c>
      <c r="H23" s="67" t="inlineStr">
        <is>
          <t>3 ad groups (see Ads Plan). Sitelinks: Agenda, Speakers, Benefits, Register.</t>
        </is>
      </c>
      <c r="I23" s="67" t="inlineStr">
        <is>
          <t>Shourya</t>
        </is>
      </c>
      <c r="J23" s="87" t="n">
        <v>46302</v>
      </c>
      <c r="K23" s="87" t="n">
        <v>46304</v>
      </c>
    </row>
    <row r="24">
      <c r="A24" s="88" t="inlineStr">
        <is>
          <t>Counts:</t>
        </is>
      </c>
      <c r="B24" s="88" t="str">
        <f>COUNTIF(A4:A23,"V*")&amp;" videos, "&amp;COUNTIF(A4:A23,"S*")&amp;" statics, "&amp;COUNTIF(A4:A23,"C*")&amp;" carousels, "&amp;COUNTIF(A4:A23,"G*")&amp;" text ad set"</f>
        <v>10 videos, 6 statics, 3 carousels, 1 text ad set</v>
      </c>
    </row>
    <row r="26">
      <c r="A26" s="80" t="inlineStr">
        <is>
          <t>Creative release calendar</t>
        </is>
      </c>
    </row>
    <row r="27">
      <c r="A27" s="64" t="inlineStr"/>
      <c r="B27" s="64" t="inlineStr">
        <is>
          <t>Date</t>
        </is>
      </c>
      <c r="C27" s="64" t="inlineStr">
        <is>
          <t>Batch</t>
        </is>
      </c>
      <c r="D27" s="64" t="inlineStr"/>
      <c r="E27" s="64" t="inlineStr"/>
      <c r="F27" s="64" t="inlineStr"/>
      <c r="G27" s="64" t="inlineStr">
        <is>
          <t>What goes live</t>
        </is>
      </c>
    </row>
    <row r="28">
      <c r="A28" s="67" t="inlineStr"/>
      <c r="B28" s="89" t="n">
        <v>46304</v>
      </c>
      <c r="C28" s="65" t="inlineStr">
        <is>
          <t>Launch (test)</t>
        </is>
      </c>
      <c r="D28" s="71" t="n"/>
      <c r="E28" s="71" t="n"/>
      <c r="F28" s="72" t="n"/>
      <c r="G28" s="67" t="inlineStr">
        <is>
          <t>V1, V2, V3, V4, V5, S1, S2, S3, C1, G1: 10 creatives across 3 platforms</t>
        </is>
      </c>
      <c r="H28" s="72" t="n"/>
    </row>
    <row r="29">
      <c r="A29" s="67" t="inlineStr"/>
      <c r="B29" s="89" t="n">
        <v>46309</v>
      </c>
      <c r="C29" s="65" t="inlineStr">
        <is>
          <t>Refresh 1</t>
        </is>
      </c>
      <c r="D29" s="71" t="n"/>
      <c r="E29" s="71" t="n"/>
      <c r="F29" s="72" t="n"/>
      <c r="G29" s="67" t="inlineStr">
        <is>
          <t>V6, V7, S4, C2 + pause the bottom 30%</t>
        </is>
      </c>
      <c r="H29" s="72" t="n"/>
    </row>
    <row r="30">
      <c r="A30" s="67" t="inlineStr"/>
      <c r="B30" s="89" t="n">
        <v>46313</v>
      </c>
      <c r="C30" s="65" t="inlineStr">
        <is>
          <t>Refresh 2</t>
        </is>
      </c>
      <c r="D30" s="71" t="n"/>
      <c r="E30" s="71" t="n"/>
      <c r="F30" s="72" t="n"/>
      <c r="G30" s="67" t="inlineStr">
        <is>
          <t>V8, S6, C3 + new hooks on the best video</t>
        </is>
      </c>
      <c r="H30" s="72" t="n"/>
    </row>
    <row r="31">
      <c r="A31" s="67" t="inlineStr"/>
      <c r="B31" s="89" t="n">
        <v>46316</v>
      </c>
      <c r="C31" s="65" t="inlineStr">
        <is>
          <t>Refresh 3</t>
        </is>
      </c>
      <c r="D31" s="71" t="n"/>
      <c r="E31" s="71" t="n"/>
      <c r="F31" s="72" t="n"/>
      <c r="G31" s="67" t="inlineStr">
        <is>
          <t>V9 bumper + 2 new hook versions of the top 2 ads</t>
        </is>
      </c>
      <c r="H31" s="72" t="n"/>
    </row>
    <row r="32">
      <c r="A32" s="67" t="inlineStr"/>
      <c r="B32" s="89" t="n">
        <v>46319</v>
      </c>
      <c r="C32" s="65" t="inlineStr">
        <is>
          <t>Last call</t>
        </is>
      </c>
      <c r="D32" s="71" t="n"/>
      <c r="E32" s="71" t="n"/>
      <c r="F32" s="72" t="n"/>
      <c r="G32" s="67" t="inlineStr">
        <is>
          <t>V10 and S5 countdowns, retargeting-heavy</t>
        </is>
      </c>
      <c r="H32" s="72" t="n"/>
    </row>
    <row r="33">
      <c r="A33" s="80" t="inlineStr">
        <is>
          <t>Production cost (estimates; get quotes)</t>
        </is>
      </c>
    </row>
    <row r="34">
      <c r="A34" s="64" t="inlineStr"/>
      <c r="B34" s="64" t="inlineStr">
        <is>
          <t>Item</t>
        </is>
      </c>
      <c r="C34" s="64" t="inlineStr">
        <is>
          <t>Qty</t>
        </is>
      </c>
      <c r="D34" s="64" t="inlineStr">
        <is>
          <t>Rate (₹)</t>
        </is>
      </c>
      <c r="E34" s="64" t="inlineStr"/>
      <c r="F34" s="64" t="inlineStr">
        <is>
          <t>Cost (₹)</t>
        </is>
      </c>
    </row>
    <row r="35">
      <c r="A35" s="67" t="inlineStr"/>
      <c r="B35" s="67" t="inlineStr">
        <is>
          <t>Freelance video editor: VSL + 9 short videos + versions</t>
        </is>
      </c>
      <c r="C35" s="66" t="n">
        <v>1</v>
      </c>
      <c r="D35" s="74" t="n">
        <v>20000</v>
      </c>
      <c r="E35" s="72" t="n"/>
      <c r="F35" s="75">
        <f>C35*D35</f>
        <v>20000.0</v>
      </c>
    </row>
    <row r="36">
      <c r="A36" s="67" t="inlineStr"/>
      <c r="B36" s="67" t="inlineStr">
        <is>
          <t>Freelance designer: 6 statics + 3 carousels in all sizes</t>
        </is>
      </c>
      <c r="C36" s="66" t="n">
        <v>1</v>
      </c>
      <c r="D36" s="74" t="n">
        <v>10000</v>
      </c>
      <c r="E36" s="72" t="n"/>
      <c r="F36" s="75">
        <f>C36*D36</f>
        <v>10000.0</v>
      </c>
    </row>
    <row r="37">
      <c r="A37" s="67" t="inlineStr"/>
      <c r="B37" s="67" t="inlineStr">
        <is>
          <t>Lapel mic + ring light (one-time, reused for the series)</t>
        </is>
      </c>
      <c r="C37" s="66" t="n">
        <v>1</v>
      </c>
      <c r="D37" s="74" t="n">
        <v>7000</v>
      </c>
      <c r="E37" s="72" t="n"/>
      <c r="F37" s="75">
        <f>C37*D37</f>
        <v>7000.0</v>
      </c>
    </row>
    <row r="38">
      <c r="A38" s="79" t="inlineStr"/>
      <c r="B38" s="76" t="inlineStr">
        <is>
          <t>Total production</t>
        </is>
      </c>
      <c r="C38" s="79" t="inlineStr"/>
      <c r="D38" s="79" t="inlineStr"/>
      <c r="E38" s="72" t="n"/>
      <c r="F38" s="78">
        <f>SUM(F35:F37)</f>
        <v>37000.0</v>
      </c>
    </row>
    <row r="39">
      <c r="A39" s="63" t="inlineStr">
        <is>
          <t>Every video gets burned-in captions: most people watch Reels and Shorts with the sound off.</t>
        </is>
      </c>
    </row>
  </sheetData>
  <mergeCells count="14">
    <mergeCell ref="G29:H29"/>
    <mergeCell ref="C31:F31"/>
    <mergeCell ref="G30:H30"/>
    <mergeCell ref="G32:H32"/>
    <mergeCell ref="D37:E37"/>
    <mergeCell ref="C29:F29"/>
    <mergeCell ref="C30:F30"/>
    <mergeCell ref="D38:E38"/>
    <mergeCell ref="G28:H28"/>
    <mergeCell ref="G31:H31"/>
    <mergeCell ref="C32:F32"/>
    <mergeCell ref="D36:E36"/>
    <mergeCell ref="C28:F28"/>
    <mergeCell ref="D35:E35"/>
  </mergeCell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F4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4" customWidth="1" min="2" max="2"/>
    <col width="50" customWidth="1" min="3" max="3"/>
    <col width="14" customWidth="1" min="4" max="4"/>
    <col width="14" customWidth="1" min="5" max="5"/>
    <col width="70" customWidth="1" min="6" max="6"/>
  </cols>
  <sheetData>
    <row r="1">
      <c r="A1" s="61" t="inlineStr">
        <is>
          <t>VSL funnel: from ad to booked call</t>
        </is>
      </c>
    </row>
    <row r="2">
      <c r="A2" s="63" t="inlineStr">
        <is>
          <t>VSL = video sales letter: a 3–4 minute video at the top of the landing page that sells the webinar.</t>
        </is>
      </c>
    </row>
    <row r="3">
      <c r="A3" s="64" t="inlineStr">
        <is>
          <t>#</t>
        </is>
      </c>
      <c r="B3" s="64" t="inlineStr">
        <is>
          <t>Step</t>
        </is>
      </c>
      <c r="C3" s="64" t="inlineStr">
        <is>
          <t>What the person sees or does</t>
        </is>
      </c>
      <c r="D3" s="64" t="inlineStr">
        <is>
          <t>Rate</t>
        </is>
      </c>
      <c r="E3" s="64" t="inlineStr">
        <is>
          <t>People</t>
        </is>
      </c>
      <c r="F3" s="64" t="inlineStr">
        <is>
          <t>Tool / note</t>
        </is>
      </c>
    </row>
    <row r="4">
      <c r="A4" s="67" t="n">
        <v>1</v>
      </c>
      <c r="B4" s="65" t="inlineStr">
        <is>
          <t>Sees an ad</t>
        </is>
      </c>
      <c r="C4" s="67" t="inlineStr">
        <is>
          <t>Video, static or carousel from the Creatives tab</t>
        </is>
      </c>
      <c r="D4" s="90" t="n"/>
      <c r="E4" s="69">
        <f>Funnel!B12</f>
        <v>244500.0</v>
      </c>
      <c r="F4" s="67" t="inlineStr">
        <is>
          <t>Meta, YouTube, Google</t>
        </is>
      </c>
    </row>
    <row r="5">
      <c r="A5" s="67" t="n">
        <v>2</v>
      </c>
      <c r="B5" s="65" t="inlineStr">
        <is>
          <t>Clicks to the VSL page</t>
        </is>
      </c>
      <c r="C5" s="67" t="inlineStr">
        <is>
          <t>Landing page with the VSL on top</t>
        </is>
      </c>
      <c r="D5" s="91">
        <f>Funnel!B11</f>
        <v>0.006</v>
      </c>
      <c r="E5" s="69">
        <f>Funnel!B10</f>
        <v>1467.0</v>
      </c>
      <c r="F5" s="67" t="inlineStr">
        <is>
          <t>Rate = ad click-through rate</t>
        </is>
      </c>
    </row>
    <row r="6">
      <c r="A6" s="67" t="n">
        <v>3</v>
      </c>
      <c r="B6" s="65" t="inlineStr">
        <is>
          <t>Presses play on the VSL</t>
        </is>
      </c>
      <c r="C6" s="67" t="inlineStr">
        <is>
          <t>Autoplay muted with captions, big play button</t>
        </is>
      </c>
      <c r="D6" s="68" t="n">
        <v>0.6</v>
      </c>
      <c r="E6" s="69">
        <f>ROUND(E5*D6,0)</f>
        <v>880.0</v>
      </c>
      <c r="F6" s="67" t="inlineStr">
        <is>
          <t>Estimate</t>
        </is>
      </c>
    </row>
    <row r="7">
      <c r="A7" s="67" t="n">
        <v>4</v>
      </c>
      <c r="B7" s="65" t="inlineStr">
        <is>
          <t>Watches 50%+ of the VSL</t>
        </is>
      </c>
      <c r="C7" s="67" t="inlineStr">
        <is>
          <t>Reaches the 'what you get' section</t>
        </is>
      </c>
      <c r="D7" s="68" t="n">
        <v>0.45</v>
      </c>
      <c r="E7" s="69">
        <f>ROUND(E6*D7,0)</f>
        <v>396.0</v>
      </c>
      <c r="F7" s="67" t="inlineStr">
        <is>
          <t>Estimate. Meta/YouTube retarget everyone from here.</t>
        </is>
      </c>
    </row>
    <row r="8">
      <c r="A8" s="67" t="n">
        <v>5</v>
      </c>
      <c r="B8" s="65" t="inlineStr">
        <is>
          <t>Registers</t>
        </is>
      </c>
      <c r="C8" s="67" t="inlineStr">
        <is>
          <t>5-field form below the video and repeated at the end</t>
        </is>
      </c>
      <c r="D8" s="90">
        <f>Funnel!B9</f>
        <v>0.15</v>
      </c>
      <c r="E8" s="69">
        <f>ROUND(E5*D8,0)</f>
        <v>220.0</v>
      </c>
      <c r="F8" s="67" t="inlineStr">
        <is>
          <t>Rate = landing page conversion (of all page visitors)</t>
        </is>
      </c>
    </row>
    <row r="9">
      <c r="A9" s="67" t="n">
        <v>6</v>
      </c>
      <c r="B9" s="65" t="inlineStr">
        <is>
          <t>Thank-you page actions</t>
        </is>
      </c>
      <c r="C9" s="67" t="inlineStr">
        <is>
          <t>Adds to calendar, opts in to WhatsApp, invites 2 teammates</t>
        </is>
      </c>
      <c r="D9" s="68" t="n">
        <v>0.6</v>
      </c>
      <c r="E9" s="69">
        <f>ROUND(E8*D9,0)</f>
        <v>132.0</v>
      </c>
      <c r="F9" s="67" t="inlineStr">
        <is>
          <t>Estimate: people who add it to their calendar</t>
        </is>
      </c>
    </row>
    <row r="10">
      <c r="A10" s="67" t="n">
        <v>7</v>
      </c>
      <c r="B10" s="65" t="inlineStr">
        <is>
          <t>Attends live</t>
        </is>
      </c>
      <c r="C10" s="67" t="inlineStr">
        <is>
          <t>Reminders from the table below</t>
        </is>
      </c>
      <c r="D10" s="90">
        <f>Funnel!B7</f>
        <v>0.25</v>
      </c>
      <c r="E10" s="69">
        <f>ROUND(Funnel!B4*D10,0)</f>
        <v>50.0</v>
      </c>
      <c r="F10" s="67" t="inlineStr">
        <is>
          <t>Based on the 200 real registrations</t>
        </is>
      </c>
    </row>
    <row r="11">
      <c r="A11" s="67" t="n">
        <v>8</v>
      </c>
      <c r="B11" s="65" t="inlineStr">
        <is>
          <t>Stays till the end</t>
        </is>
      </c>
      <c r="C11" s="67" t="inlineStr">
        <is>
          <t>Lucky draw and toolkit in the last 10 minutes</t>
        </is>
      </c>
      <c r="D11" s="68" t="n">
        <v>0.65</v>
      </c>
      <c r="E11" s="69">
        <f>ROUND(E10*D11,0)</f>
        <v>33.0</v>
      </c>
      <c r="F11" s="67" t="inlineStr">
        <is>
          <t>Estimate</t>
        </is>
      </c>
    </row>
    <row r="12">
      <c r="A12" s="67" t="n">
        <v>9</v>
      </c>
      <c r="B12" s="65" t="inlineStr">
        <is>
          <t>Books a free 1:1 review</t>
        </is>
      </c>
      <c r="C12" s="67" t="inlineStr">
        <is>
          <t>Booking link in chat and in the thank-you email</t>
        </is>
      </c>
      <c r="D12" s="68" t="n">
        <v>0.12</v>
      </c>
      <c r="E12" s="69">
        <f>ROUND(E11*D12,0)</f>
        <v>4.0</v>
      </c>
      <c r="F12" s="67" t="inlineStr">
        <is>
          <t>Estimate</t>
        </is>
      </c>
    </row>
    <row r="14">
      <c r="A14" s="80" t="inlineStr">
        <is>
          <t>VSL script (3–4 minutes, recorded on Mon 5 or Tue 6 Oct)</t>
        </is>
      </c>
    </row>
    <row r="15">
      <c r="A15" s="64" t="inlineStr"/>
      <c r="B15" s="64" t="inlineStr">
        <is>
          <t>Time</t>
        </is>
      </c>
      <c r="C15" s="64" t="inlineStr">
        <is>
          <t>Section</t>
        </is>
      </c>
      <c r="D15" s="64" t="inlineStr"/>
      <c r="E15" s="64" t="inlineStr"/>
      <c r="F15" s="64" t="inlineStr">
        <is>
          <t>What to say / show</t>
        </is>
      </c>
    </row>
    <row r="16" ht="48" customHeight="1">
      <c r="A16" s="67" t="inlineStr"/>
      <c r="B16" s="65" t="inlineStr">
        <is>
          <t>0:00–0:15</t>
        </is>
      </c>
      <c r="C16" s="65" t="inlineStr">
        <is>
          <t>Hook</t>
        </is>
      </c>
      <c r="D16" s="71" t="n"/>
      <c r="E16" s="72" t="n"/>
      <c r="F16" s="67" t="inlineStr">
        <is>
          <t>"Every engineer gets asked one day: should we build this, buy it, or hand it off? Get it wrong and you own it for years. Here's how a CTO decides."</t>
        </is>
      </c>
    </row>
    <row r="17" ht="48" customHeight="1">
      <c r="A17" s="67" t="inlineStr"/>
      <c r="B17" s="65" t="inlineStr">
        <is>
          <t>0:15–0:45</t>
        </is>
      </c>
      <c r="C17" s="65" t="inlineStr">
        <is>
          <t>The problem</t>
        </is>
      </c>
      <c r="D17" s="71" t="n"/>
      <c r="E17" s="72" t="n"/>
      <c r="F17" s="67" t="inlineStr">
        <is>
          <t>Real pain: building a monitoring stack no one maintains, buying a tool that doesn't fit, being blamed for the cloud bill. 'You're expected to decide like a CTO, but nobody taught you how.'</t>
        </is>
      </c>
    </row>
    <row r="18" ht="48" customHeight="1">
      <c r="A18" s="67" t="inlineStr"/>
      <c r="B18" s="65" t="inlineStr">
        <is>
          <t>0:45–1:15</t>
        </is>
      </c>
      <c r="C18" s="65" t="inlineStr">
        <is>
          <t>Who we are</t>
        </is>
      </c>
      <c r="D18" s="71" t="n"/>
      <c r="E18" s="72" t="n"/>
      <c r="F18" s="67" t="inlineStr">
        <is>
          <t>CTO: 15 years, ex-Microsoft, examples of decisions made. CEO: why Zarthi runs this series. Show faces and logos of real projects (with permission).</t>
        </is>
      </c>
    </row>
    <row r="19" ht="48" customHeight="1">
      <c r="A19" s="67" t="inlineStr"/>
      <c r="B19" s="65" t="inlineStr">
        <is>
          <t>1:15–2:00</t>
        </is>
      </c>
      <c r="C19" s="65" t="inlineStr">
        <is>
          <t>Free value</t>
        </is>
      </c>
      <c r="D19" s="71" t="n"/>
      <c r="E19" s="72" t="n"/>
      <c r="F19" s="67" t="inlineStr">
        <is>
          <t>Teach question 1 of the 5 in full, with one quick example. Proof the session is useful, not a sales pitch.</t>
        </is>
      </c>
    </row>
    <row r="20" ht="48" customHeight="1">
      <c r="A20" s="67" t="inlineStr"/>
      <c r="B20" s="65" t="inlineStr">
        <is>
          <t>2:00–2:40</t>
        </is>
      </c>
      <c r="C20" s="65" t="inlineStr">
        <is>
          <t>What you get live</t>
        </is>
      </c>
      <c r="D20" s="71" t="n"/>
      <c r="E20" s="72" t="n"/>
      <c r="F20" s="67" t="inlineStr">
        <is>
          <t>The other 4 questions, a live real-world case, your own question answered, plus the toolkit, certificate and lucky draw (Benefits tab).</t>
        </is>
      </c>
    </row>
    <row r="21" ht="48" customHeight="1">
      <c r="A21" s="67" t="inlineStr"/>
      <c r="B21" s="65" t="inlineStr">
        <is>
          <t>2:40–3:10</t>
        </is>
      </c>
      <c r="C21" s="65" t="inlineStr">
        <is>
          <t>Who it's for / not for</t>
        </is>
      </c>
      <c r="D21" s="71" t="n"/>
      <c r="E21" s="72" t="n"/>
      <c r="F21" s="67" t="inlineStr">
        <is>
          <t>For: SRE, DevOps, cloud and backend engineers and their leads. Not for: people looking for a beginner course or a job.</t>
        </is>
      </c>
    </row>
    <row r="22" ht="48" customHeight="1">
      <c r="A22" s="67" t="inlineStr"/>
      <c r="B22" s="65" t="inlineStr">
        <is>
          <t>3:10–3:30</t>
        </is>
      </c>
      <c r="C22" s="65" t="inlineStr">
        <is>
          <t>Call to action</t>
        </is>
      </c>
      <c r="D22" s="71" t="n"/>
      <c r="E22" s="72" t="n"/>
      <c r="F22" s="67" t="inlineStr">
        <is>
          <t>"Tuesday 27 October, 4 PM, 45 minutes, free. Zoom holds 100 people live, so register below now."</t>
        </is>
      </c>
    </row>
    <row r="24">
      <c r="A24" s="80" t="inlineStr">
        <is>
          <t>Landing page, top to bottom</t>
        </is>
      </c>
    </row>
    <row r="25">
      <c r="A25" s="62" t="inlineStr">
        <is>
          <t>1. Headline = the title. Sub-headline = the promise. Date, time and 'Free' visible without scrolling.</t>
        </is>
      </c>
    </row>
    <row r="26">
      <c r="A26" s="62" t="inlineStr">
        <is>
          <t>2. The VSL (V1), autoplay muted with captions.</t>
        </is>
      </c>
    </row>
    <row r="27">
      <c r="A27" s="62" t="inlineStr">
        <is>
          <t>3. Form right under the video: name, work or personal email, phone, job title, company. Plus 'Your build-or-buy question' (optional).</t>
        </is>
      </c>
    </row>
    <row r="28">
      <c r="A28" s="62" t="inlineStr">
        <is>
          <t>4. 'What you get' with the benefits, then speaker bios, then agenda (45 min + Q&amp;A).</t>
        </is>
      </c>
    </row>
    <row r="29">
      <c r="A29" s="62" t="inlineStr">
        <is>
          <t>5. 'Who it's for' block, then the form repeated at the bottom. No menu or links that take people away.</t>
        </is>
      </c>
    </row>
    <row r="30">
      <c r="A30" s="62" t="inlineStr">
        <is>
          <t>6. Tracking: Meta Pixel 'Lead', Google Ads conversion, YouTube conversion and UTMs fire only on a real form submit.</t>
        </is>
      </c>
    </row>
    <row r="32">
      <c r="A32" s="80" t="inlineStr">
        <is>
          <t>Reminder sequence (free; this decides the show-up rate)</t>
        </is>
      </c>
    </row>
    <row r="33">
      <c r="A33" s="64" t="inlineStr"/>
      <c r="B33" s="64" t="inlineStr">
        <is>
          <t>When</t>
        </is>
      </c>
      <c r="C33" s="64" t="inlineStr">
        <is>
          <t>Channel</t>
        </is>
      </c>
      <c r="D33" s="64" t="inlineStr"/>
      <c r="E33" s="64" t="inlineStr"/>
      <c r="F33" s="64" t="inlineStr">
        <is>
          <t>Message</t>
        </is>
      </c>
    </row>
    <row r="34">
      <c r="A34" s="67" t="inlineStr"/>
      <c r="B34" s="65" t="inlineStr">
        <is>
          <t>Right after registering</t>
        </is>
      </c>
      <c r="C34" s="67" t="inlineStr">
        <is>
          <t>Email + WhatsApp</t>
        </is>
      </c>
      <c r="D34" s="71" t="n"/>
      <c r="E34" s="72" t="n"/>
      <c r="F34" s="67" t="inlineStr">
        <is>
          <t>Confirmation, calendar invite, checklist preview, 'send your question' link</t>
        </is>
      </c>
    </row>
    <row r="35">
      <c r="A35" s="67" t="inlineStr"/>
      <c r="B35" s="65" t="inlineStr">
        <is>
          <t>Tue 20-Oct (7 days before)</t>
        </is>
      </c>
      <c r="C35" s="67" t="inlineStr">
        <is>
          <t>Email</t>
        </is>
      </c>
      <c r="D35" s="71" t="n"/>
      <c r="E35" s="72" t="n"/>
      <c r="F35" s="67" t="inlineStr">
        <is>
          <t>Teaser: question 1 recap + 'the other 4 are live only'</t>
        </is>
      </c>
    </row>
    <row r="36">
      <c r="A36" s="67" t="inlineStr"/>
      <c r="B36" s="65" t="inlineStr">
        <is>
          <t>Sat 24-Oct (3 days before)</t>
        </is>
      </c>
      <c r="C36" s="67" t="inlineStr">
        <is>
          <t>Email</t>
        </is>
      </c>
      <c r="D36" s="71" t="n"/>
      <c r="E36" s="72" t="n"/>
      <c r="F36" s="67" t="inlineStr">
        <is>
          <t>'Your question may be picked' + agenda</t>
        </is>
      </c>
    </row>
    <row r="37">
      <c r="A37" s="67" t="inlineStr"/>
      <c r="B37" s="65" t="inlineStr">
        <is>
          <t>Mon 26-Oct (1 day before)</t>
        </is>
      </c>
      <c r="C37" s="67" t="inlineStr">
        <is>
          <t>Email + WhatsApp</t>
        </is>
      </c>
      <c r="D37" s="71" t="n"/>
      <c r="E37" s="72" t="n"/>
      <c r="F37" s="67" t="inlineStr">
        <is>
          <t>Tomorrow at 4 PM + reminder of the lucky draw and certificate</t>
        </is>
      </c>
    </row>
    <row r="38">
      <c r="A38" s="67" t="inlineStr"/>
      <c r="B38" s="65" t="inlineStr">
        <is>
          <t>Tue 27-Oct, 3:00 PM (1 hour before)</t>
        </is>
      </c>
      <c r="C38" s="67" t="inlineStr">
        <is>
          <t>Email + WhatsApp</t>
        </is>
      </c>
      <c r="D38" s="71" t="n"/>
      <c r="E38" s="72" t="n"/>
      <c r="F38" s="67" t="inlineStr">
        <is>
          <t>Join link (the same link every time)</t>
        </is>
      </c>
    </row>
    <row r="39">
      <c r="A39" s="67" t="inlineStr"/>
      <c r="B39" s="65" t="inlineStr">
        <is>
          <t>Tue 27-Oct, 3:55 PM</t>
        </is>
      </c>
      <c r="C39" s="67" t="inlineStr">
        <is>
          <t>WhatsApp</t>
        </is>
      </c>
      <c r="D39" s="71" t="n"/>
      <c r="E39" s="72" t="n"/>
      <c r="F39" s="67" t="inlineStr">
        <is>
          <t>'We're going live in 5 minutes'</t>
        </is>
      </c>
    </row>
    <row r="40">
      <c r="A40" s="67" t="inlineStr"/>
      <c r="B40" s="65" t="inlineStr">
        <is>
          <t>Tue 27-Oct, 4:05 PM</t>
        </is>
      </c>
      <c r="C40" s="67" t="inlineStr">
        <is>
          <t>Email + WhatsApp</t>
        </is>
      </c>
      <c r="D40" s="71" t="n"/>
      <c r="E40" s="72" t="n"/>
      <c r="F40" s="67" t="inlineStr">
        <is>
          <t>To people who haven't joined: 'We've started, the live case is at the end'</t>
        </is>
      </c>
    </row>
    <row r="41">
      <c r="A41" s="67" t="inlineStr"/>
      <c r="B41" s="65" t="inlineStr">
        <is>
          <t>Tue 27-Oct evening</t>
        </is>
      </c>
      <c r="C41" s="67" t="inlineStr">
        <is>
          <t>Email</t>
        </is>
      </c>
      <c r="D41" s="71" t="n"/>
      <c r="E41" s="72" t="n"/>
      <c r="F41" s="67" t="inlineStr">
        <is>
          <t>Attendees: certificate, toolkit, booking link. No-shows: recording + booking link.</t>
        </is>
      </c>
    </row>
  </sheetData>
  <mergeCells count="15">
    <mergeCell ref="C16:E16"/>
    <mergeCell ref="C36:E36"/>
    <mergeCell ref="C34:E34"/>
    <mergeCell ref="C41:E41"/>
    <mergeCell ref="C19:E19"/>
    <mergeCell ref="C37:E37"/>
    <mergeCell ref="C22:E22"/>
    <mergeCell ref="C39:E39"/>
    <mergeCell ref="C18:E18"/>
    <mergeCell ref="C40:E40"/>
    <mergeCell ref="C17:E17"/>
    <mergeCell ref="C35:E35"/>
    <mergeCell ref="C21:E21"/>
    <mergeCell ref="C20:E20"/>
    <mergeCell ref="C38:E38"/>
  </mergeCells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J2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2" customWidth="1" min="5" max="5"/>
    <col width="13" customWidth="1" min="6" max="6"/>
    <col width="14" customWidth="1" min="7" max="7"/>
    <col width="16" customWidth="1" min="8" max="8"/>
    <col width="44" customWidth="1" min="9" max="9"/>
    <col width="40" customWidth="1" min="10" max="10"/>
  </cols>
  <sheetData>
    <row r="1">
      <c r="A1" s="61" t="inlineStr">
        <is>
          <t>Daily plan: spend and registration target, 9-Oct to 26-Oct</t>
        </is>
      </c>
    </row>
    <row r="2">
      <c r="A2" s="63" t="inlineStr">
        <is>
          <t>Spend per day comes from the stage table on the Budget tab. Use 'Registrations by today' as the daily target.</t>
        </is>
      </c>
    </row>
    <row r="3">
      <c r="A3" s="64" t="inlineStr">
        <is>
          <t>Date</t>
        </is>
      </c>
      <c r="B3" s="64" t="inlineStr">
        <is>
          <t>Stage</t>
        </is>
      </c>
      <c r="C3" s="64" t="inlineStr">
        <is>
          <t>Meta (₹)</t>
        </is>
      </c>
      <c r="D3" s="64" t="inlineStr">
        <is>
          <t>YouTube (₹)</t>
        </is>
      </c>
      <c r="E3" s="64" t="inlineStr">
        <is>
          <t>Google (₹)</t>
        </is>
      </c>
      <c r="F3" s="64" t="inlineStr">
        <is>
          <t>Total (₹)</t>
        </is>
      </c>
      <c r="G3" s="64" t="inlineStr">
        <is>
          <t>Spend so far (₹)</t>
        </is>
      </c>
      <c r="H3" s="64" t="inlineStr">
        <is>
          <t>Registrations by today</t>
        </is>
      </c>
      <c r="I3" s="64" t="inlineStr">
        <is>
          <t>Creative action</t>
        </is>
      </c>
      <c r="J3" s="64" t="inlineStr">
        <is>
          <t>Review / other</t>
        </is>
      </c>
    </row>
    <row r="4">
      <c r="A4" s="89" t="n">
        <v>46304</v>
      </c>
      <c r="B4" s="67" t="str">
        <f>IF(A4&lt;=Budget!$C$28,"Test",IF(A4&lt;=Budget!$C$29,"Scale","Last call"))</f>
        <v>Test</v>
      </c>
      <c r="C4" s="75">
        <f>IF(A4&lt;=Budget!$C$28,Budget!$H$28/Budget!$D$28,IF(A4&lt;=Budget!$C$29,Budget!$H$29/Budget!$D$29,Budget!$H$30/Budget!$D$30))</f>
        <v>3320.0</v>
      </c>
      <c r="D4" s="75">
        <f>IF(A4&lt;=Budget!$C$28,Budget!$I$28/Budget!$D$28,IF(A4&lt;=Budget!$C$29,Budget!$I$29/Budget!$D$29,Budget!$I$30/Budget!$D$30))</f>
        <v>1050.0</v>
      </c>
      <c r="E4" s="75">
        <f>IF(A4&lt;=Budget!$C$28,Budget!$J$28/Budget!$D$28,IF(A4&lt;=Budget!$C$29,Budget!$J$29/Budget!$D$29,Budget!$J$30/Budget!$D$30))</f>
        <v>1140.0</v>
      </c>
      <c r="F4" s="81">
        <f>SUM(C4:E4)</f>
        <v>5510.0</v>
      </c>
      <c r="G4" s="75">
        <f>SUM($F$4:F4)</f>
        <v>5510.0</v>
      </c>
      <c r="H4" s="92">
        <f>ROUND(Budget!$B$4+Budget!$B$5+(Budget!$B$11-Budget!$B$4-Budget!$B$5)*G4/Budget!$F$11,0)</f>
        <v>38.0</v>
      </c>
      <c r="I4" s="67" t="inlineStr">
        <is>
          <t>Launch 10 creatives (test batch)</t>
        </is>
      </c>
      <c r="J4" s="67" t="inlineStr">
        <is>
          <t>Paid ads start. Own email invite went out Thu 8-Oct.</t>
        </is>
      </c>
    </row>
    <row r="5">
      <c r="A5" s="89" t="n">
        <v>46305</v>
      </c>
      <c r="B5" s="67" t="str">
        <f>IF(A5&lt;=Budget!$C$28,"Test",IF(A5&lt;=Budget!$C$29,"Scale","Last call"))</f>
        <v>Test</v>
      </c>
      <c r="C5" s="75">
        <f>IF(A5&lt;=Budget!$C$28,Budget!$H$28/Budget!$D$28,IF(A5&lt;=Budget!$C$29,Budget!$H$29/Budget!$D$29,Budget!$H$30/Budget!$D$30))</f>
        <v>3320.0</v>
      </c>
      <c r="D5" s="75">
        <f>IF(A5&lt;=Budget!$C$28,Budget!$I$28/Budget!$D$28,IF(A5&lt;=Budget!$C$29,Budget!$I$29/Budget!$D$29,Budget!$I$30/Budget!$D$30))</f>
        <v>1050.0</v>
      </c>
      <c r="E5" s="75">
        <f>IF(A5&lt;=Budget!$C$28,Budget!$J$28/Budget!$D$28,IF(A5&lt;=Budget!$C$29,Budget!$J$29/Budget!$D$29,Budget!$J$30/Budget!$D$30))</f>
        <v>1140.0</v>
      </c>
      <c r="F5" s="81">
        <f>SUM(C5:E5)</f>
        <v>5510.0</v>
      </c>
      <c r="G5" s="75">
        <f>SUM($F$4:F5)</f>
        <v>11020.0</v>
      </c>
      <c r="H5" s="92">
        <f>ROUND(Budget!$B$4+Budget!$B$5+(Budget!$B$11-Budget!$B$4-Budget!$B$5)*G5/Budget!$F$11,0)</f>
        <v>45.0</v>
      </c>
      <c r="I5" s="67" t="inlineStr"/>
      <c r="J5" s="67" t="inlineStr"/>
    </row>
    <row r="6">
      <c r="A6" s="89" t="n">
        <v>46306</v>
      </c>
      <c r="B6" s="67" t="str">
        <f>IF(A6&lt;=Budget!$C$28,"Test",IF(A6&lt;=Budget!$C$29,"Scale","Last call"))</f>
        <v>Test</v>
      </c>
      <c r="C6" s="75">
        <f>IF(A6&lt;=Budget!$C$28,Budget!$H$28/Budget!$D$28,IF(A6&lt;=Budget!$C$29,Budget!$H$29/Budget!$D$29,Budget!$H$30/Budget!$D$30))</f>
        <v>3320.0</v>
      </c>
      <c r="D6" s="75">
        <f>IF(A6&lt;=Budget!$C$28,Budget!$I$28/Budget!$D$28,IF(A6&lt;=Budget!$C$29,Budget!$I$29/Budget!$D$29,Budget!$I$30/Budget!$D$30))</f>
        <v>1050.0</v>
      </c>
      <c r="E6" s="75">
        <f>IF(A6&lt;=Budget!$C$28,Budget!$J$28/Budget!$D$28,IF(A6&lt;=Budget!$C$29,Budget!$J$29/Budget!$D$29,Budget!$J$30/Budget!$D$30))</f>
        <v>1140.0</v>
      </c>
      <c r="F6" s="81">
        <f>SUM(C6:E6)</f>
        <v>5510.0</v>
      </c>
      <c r="G6" s="75">
        <f>SUM($F$4:F6)</f>
        <v>16530.0</v>
      </c>
      <c r="H6" s="92">
        <f>ROUND(Budget!$B$4+Budget!$B$5+(Budget!$B$11-Budget!$B$4-Budget!$B$5)*G6/Budget!$F$11,0)</f>
        <v>53.0</v>
      </c>
      <c r="I6" s="67" t="inlineStr"/>
      <c r="J6" s="67" t="inlineStr"/>
    </row>
    <row r="7">
      <c r="A7" s="89" t="n">
        <v>46307</v>
      </c>
      <c r="B7" s="67" t="str">
        <f>IF(A7&lt;=Budget!$C$28,"Test",IF(A7&lt;=Budget!$C$29,"Scale","Last call"))</f>
        <v>Test</v>
      </c>
      <c r="C7" s="75">
        <f>IF(A7&lt;=Budget!$C$28,Budget!$H$28/Budget!$D$28,IF(A7&lt;=Budget!$C$29,Budget!$H$29/Budget!$D$29,Budget!$H$30/Budget!$D$30))</f>
        <v>3320.0</v>
      </c>
      <c r="D7" s="75">
        <f>IF(A7&lt;=Budget!$C$28,Budget!$I$28/Budget!$D$28,IF(A7&lt;=Budget!$C$29,Budget!$I$29/Budget!$D$29,Budget!$I$30/Budget!$D$30))</f>
        <v>1050.0</v>
      </c>
      <c r="E7" s="75">
        <f>IF(A7&lt;=Budget!$C$28,Budget!$J$28/Budget!$D$28,IF(A7&lt;=Budget!$C$29,Budget!$J$29/Budget!$D$29,Budget!$J$30/Budget!$D$30))</f>
        <v>1140.0</v>
      </c>
      <c r="F7" s="81">
        <f>SUM(C7:E7)</f>
        <v>5510.0</v>
      </c>
      <c r="G7" s="75">
        <f>SUM($F$4:F7)</f>
        <v>22040.0</v>
      </c>
      <c r="H7" s="92">
        <f>ROUND(Budget!$B$4+Budget!$B$5+(Budget!$B$11-Budget!$B$4-Budget!$B$5)*G7/Budget!$F$11,0)</f>
        <v>60.0</v>
      </c>
      <c r="I7" s="67" t="inlineStr"/>
      <c r="J7" s="67" t="inlineStr">
        <is>
          <t>Monday update to CEO</t>
        </is>
      </c>
    </row>
    <row r="8">
      <c r="A8" s="89" t="n">
        <v>46308</v>
      </c>
      <c r="B8" s="67" t="str">
        <f>IF(A8&lt;=Budget!$C$28,"Test",IF(A8&lt;=Budget!$C$29,"Scale","Last call"))</f>
        <v>Test</v>
      </c>
      <c r="C8" s="75">
        <f>IF(A8&lt;=Budget!$C$28,Budget!$H$28/Budget!$D$28,IF(A8&lt;=Budget!$C$29,Budget!$H$29/Budget!$D$29,Budget!$H$30/Budget!$D$30))</f>
        <v>3320.0</v>
      </c>
      <c r="D8" s="75">
        <f>IF(A8&lt;=Budget!$C$28,Budget!$I$28/Budget!$D$28,IF(A8&lt;=Budget!$C$29,Budget!$I$29/Budget!$D$29,Budget!$I$30/Budget!$D$30))</f>
        <v>1050.0</v>
      </c>
      <c r="E8" s="75">
        <f>IF(A8&lt;=Budget!$C$28,Budget!$J$28/Budget!$D$28,IF(A8&lt;=Budget!$C$29,Budget!$J$29/Budget!$D$29,Budget!$J$30/Budget!$D$30))</f>
        <v>1140.0</v>
      </c>
      <c r="F8" s="81">
        <f>SUM(C8:E8)</f>
        <v>5510.0</v>
      </c>
      <c r="G8" s="75">
        <f>SUM($F$4:F8)</f>
        <v>27550.0</v>
      </c>
      <c r="H8" s="92">
        <f>ROUND(Budget!$B$4+Budget!$B$5+(Budget!$B$11-Budget!$B$4-Budget!$B$5)*G8/Budget!$F$11,0)</f>
        <v>68.0</v>
      </c>
      <c r="I8" s="67" t="inlineStr">
        <is>
          <t>Pause losers</t>
        </is>
      </c>
      <c r="J8" s="67" t="inlineStr">
        <is>
          <t>Test review with CEO: release scale budget?</t>
        </is>
      </c>
    </row>
    <row r="9">
      <c r="A9" s="89" t="n">
        <v>46309</v>
      </c>
      <c r="B9" s="67" t="str">
        <f>IF(A9&lt;=Budget!$C$28,"Test",IF(A9&lt;=Budget!$C$29,"Scale","Last call"))</f>
        <v>Scale</v>
      </c>
      <c r="C9" s="75">
        <f>IF(A9&lt;=Budget!$C$28,Budget!$H$28/Budget!$D$28,IF(A9&lt;=Budget!$C$29,Budget!$H$29/Budget!$D$29,Budget!$H$30/Budget!$D$30))</f>
        <v>5644.000000000001</v>
      </c>
      <c r="D9" s="75">
        <f>IF(A9&lt;=Budget!$C$28,Budget!$I$28/Budget!$D$28,IF(A9&lt;=Budget!$C$29,Budget!$I$29/Budget!$D$29,Budget!$I$30/Budget!$D$30))</f>
        <v>1785.0</v>
      </c>
      <c r="E9" s="75">
        <f>IF(A9&lt;=Budget!$C$28,Budget!$J$28/Budget!$D$28,IF(A9&lt;=Budget!$C$29,Budget!$J$29/Budget!$D$29,Budget!$J$30/Budget!$D$30))</f>
        <v>1938.0</v>
      </c>
      <c r="F9" s="81">
        <f>SUM(C9:E9)</f>
        <v>9367.0</v>
      </c>
      <c r="G9" s="75">
        <f>SUM($F$4:F9)</f>
        <v>36917.0</v>
      </c>
      <c r="H9" s="92">
        <f>ROUND(Budget!$B$4+Budget!$B$5+(Budget!$B$11-Budget!$B$4-Budget!$B$5)*G9/Budget!$F$11,0)</f>
        <v>81.0</v>
      </c>
      <c r="I9" s="67" t="inlineStr">
        <is>
          <t>Refresh 1: V6, V7, S4, C2</t>
        </is>
      </c>
      <c r="J9" s="67" t="inlineStr">
        <is>
          <t>Retargeting (M4) starts</t>
        </is>
      </c>
    </row>
    <row r="10">
      <c r="A10" s="89" t="n">
        <v>46310</v>
      </c>
      <c r="B10" s="67" t="str">
        <f>IF(A10&lt;=Budget!$C$28,"Test",IF(A10&lt;=Budget!$C$29,"Scale","Last call"))</f>
        <v>Scale</v>
      </c>
      <c r="C10" s="75">
        <f>IF(A10&lt;=Budget!$C$28,Budget!$H$28/Budget!$D$28,IF(A10&lt;=Budget!$C$29,Budget!$H$29/Budget!$D$29,Budget!$H$30/Budget!$D$30))</f>
        <v>5644.000000000001</v>
      </c>
      <c r="D10" s="75">
        <f>IF(A10&lt;=Budget!$C$28,Budget!$I$28/Budget!$D$28,IF(A10&lt;=Budget!$C$29,Budget!$I$29/Budget!$D$29,Budget!$I$30/Budget!$D$30))</f>
        <v>1785.0</v>
      </c>
      <c r="E10" s="75">
        <f>IF(A10&lt;=Budget!$C$28,Budget!$J$28/Budget!$D$28,IF(A10&lt;=Budget!$C$29,Budget!$J$29/Budget!$D$29,Budget!$J$30/Budget!$D$30))</f>
        <v>1938.0</v>
      </c>
      <c r="F10" s="81">
        <f>SUM(C10:E10)</f>
        <v>9367.0</v>
      </c>
      <c r="G10" s="75">
        <f>SUM($F$4:F10)</f>
        <v>46284.0</v>
      </c>
      <c r="H10" s="92">
        <f>ROUND(Budget!$B$4+Budget!$B$5+(Budget!$B$11-Budget!$B$4-Budget!$B$5)*G10/Budget!$F$11,0)</f>
        <v>94.0</v>
      </c>
      <c r="I10" s="67" t="inlineStr"/>
      <c r="J10" s="67" t="inlineStr"/>
    </row>
    <row r="11">
      <c r="A11" s="89" t="n">
        <v>46311</v>
      </c>
      <c r="B11" s="67" t="str">
        <f>IF(A11&lt;=Budget!$C$28,"Test",IF(A11&lt;=Budget!$C$29,"Scale","Last call"))</f>
        <v>Scale</v>
      </c>
      <c r="C11" s="75">
        <f>IF(A11&lt;=Budget!$C$28,Budget!$H$28/Budget!$D$28,IF(A11&lt;=Budget!$C$29,Budget!$H$29/Budget!$D$29,Budget!$H$30/Budget!$D$30))</f>
        <v>5644.000000000001</v>
      </c>
      <c r="D11" s="75">
        <f>IF(A11&lt;=Budget!$C$28,Budget!$I$28/Budget!$D$28,IF(A11&lt;=Budget!$C$29,Budget!$I$29/Budget!$D$29,Budget!$I$30/Budget!$D$30))</f>
        <v>1785.0</v>
      </c>
      <c r="E11" s="75">
        <f>IF(A11&lt;=Budget!$C$28,Budget!$J$28/Budget!$D$28,IF(A11&lt;=Budget!$C$29,Budget!$J$29/Budget!$D$29,Budget!$J$30/Budget!$D$30))</f>
        <v>1938.0</v>
      </c>
      <c r="F11" s="81">
        <f>SUM(C11:E11)</f>
        <v>9367.0</v>
      </c>
      <c r="G11" s="75">
        <f>SUM($F$4:F11)</f>
        <v>55651.0</v>
      </c>
      <c r="H11" s="92">
        <f>ROUND(Budget!$B$4+Budget!$B$5+(Budget!$B$11-Budget!$B$4-Budget!$B$5)*G11/Budget!$F$11,0)</f>
        <v>107.0</v>
      </c>
      <c r="I11" s="67" t="inlineStr"/>
      <c r="J11" s="67" t="inlineStr"/>
    </row>
    <row r="12">
      <c r="A12" s="89" t="n">
        <v>46312</v>
      </c>
      <c r="B12" s="67" t="str">
        <f>IF(A12&lt;=Budget!$C$28,"Test",IF(A12&lt;=Budget!$C$29,"Scale","Last call"))</f>
        <v>Scale</v>
      </c>
      <c r="C12" s="75">
        <f>IF(A12&lt;=Budget!$C$28,Budget!$H$28/Budget!$D$28,IF(A12&lt;=Budget!$C$29,Budget!$H$29/Budget!$D$29,Budget!$H$30/Budget!$D$30))</f>
        <v>5644.000000000001</v>
      </c>
      <c r="D12" s="75">
        <f>IF(A12&lt;=Budget!$C$28,Budget!$I$28/Budget!$D$28,IF(A12&lt;=Budget!$C$29,Budget!$I$29/Budget!$D$29,Budget!$I$30/Budget!$D$30))</f>
        <v>1785.0</v>
      </c>
      <c r="E12" s="75">
        <f>IF(A12&lt;=Budget!$C$28,Budget!$J$28/Budget!$D$28,IF(A12&lt;=Budget!$C$29,Budget!$J$29/Budget!$D$29,Budget!$J$30/Budget!$D$30))</f>
        <v>1938.0</v>
      </c>
      <c r="F12" s="81">
        <f>SUM(C12:E12)</f>
        <v>9367.0</v>
      </c>
      <c r="G12" s="75">
        <f>SUM($F$4:F12)</f>
        <v>65018.0</v>
      </c>
      <c r="H12" s="92">
        <f>ROUND(Budget!$B$4+Budget!$B$5+(Budget!$B$11-Budget!$B$4-Budget!$B$5)*G12/Budget!$F$11,0)</f>
        <v>120.0</v>
      </c>
      <c r="I12" s="67" t="inlineStr"/>
      <c r="J12" s="67" t="inlineStr"/>
    </row>
    <row r="13">
      <c r="A13" s="89" t="n">
        <v>46313</v>
      </c>
      <c r="B13" s="67" t="str">
        <f>IF(A13&lt;=Budget!$C$28,"Test",IF(A13&lt;=Budget!$C$29,"Scale","Last call"))</f>
        <v>Scale</v>
      </c>
      <c r="C13" s="75">
        <f>IF(A13&lt;=Budget!$C$28,Budget!$H$28/Budget!$D$28,IF(A13&lt;=Budget!$C$29,Budget!$H$29/Budget!$D$29,Budget!$H$30/Budget!$D$30))</f>
        <v>5644.000000000001</v>
      </c>
      <c r="D13" s="75">
        <f>IF(A13&lt;=Budget!$C$28,Budget!$I$28/Budget!$D$28,IF(A13&lt;=Budget!$C$29,Budget!$I$29/Budget!$D$29,Budget!$I$30/Budget!$D$30))</f>
        <v>1785.0</v>
      </c>
      <c r="E13" s="75">
        <f>IF(A13&lt;=Budget!$C$28,Budget!$J$28/Budget!$D$28,IF(A13&lt;=Budget!$C$29,Budget!$J$29/Budget!$D$29,Budget!$J$30/Budget!$D$30))</f>
        <v>1938.0</v>
      </c>
      <c r="F13" s="81">
        <f>SUM(C13:E13)</f>
        <v>9367.0</v>
      </c>
      <c r="G13" s="75">
        <f>SUM($F$4:F13)</f>
        <v>74385.0</v>
      </c>
      <c r="H13" s="92">
        <f>ROUND(Budget!$B$4+Budget!$B$5+(Budget!$B$11-Budget!$B$4-Budget!$B$5)*G13/Budget!$F$11,0)</f>
        <v>133.0</v>
      </c>
      <c r="I13" s="67" t="inlineStr">
        <is>
          <t>Refresh 2: V8, S6, C3</t>
        </is>
      </c>
      <c r="J13" s="67" t="inlineStr"/>
    </row>
    <row r="14">
      <c r="A14" s="89" t="n">
        <v>46314</v>
      </c>
      <c r="B14" s="67" t="str">
        <f>IF(A14&lt;=Budget!$C$28,"Test",IF(A14&lt;=Budget!$C$29,"Scale","Last call"))</f>
        <v>Scale</v>
      </c>
      <c r="C14" s="75">
        <f>IF(A14&lt;=Budget!$C$28,Budget!$H$28/Budget!$D$28,IF(A14&lt;=Budget!$C$29,Budget!$H$29/Budget!$D$29,Budget!$H$30/Budget!$D$30))</f>
        <v>5644.000000000001</v>
      </c>
      <c r="D14" s="75">
        <f>IF(A14&lt;=Budget!$C$28,Budget!$I$28/Budget!$D$28,IF(A14&lt;=Budget!$C$29,Budget!$I$29/Budget!$D$29,Budget!$I$30/Budget!$D$30))</f>
        <v>1785.0</v>
      </c>
      <c r="E14" s="75">
        <f>IF(A14&lt;=Budget!$C$28,Budget!$J$28/Budget!$D$28,IF(A14&lt;=Budget!$C$29,Budget!$J$29/Budget!$D$29,Budget!$J$30/Budget!$D$30))</f>
        <v>1938.0</v>
      </c>
      <c r="F14" s="81">
        <f>SUM(C14:E14)</f>
        <v>9367.0</v>
      </c>
      <c r="G14" s="75">
        <f>SUM($F$4:F14)</f>
        <v>83752.0</v>
      </c>
      <c r="H14" s="92">
        <f>ROUND(Budget!$B$4+Budget!$B$5+(Budget!$B$11-Budget!$B$4-Budget!$B$5)*G14/Budget!$F$11,0)</f>
        <v>146.0</v>
      </c>
      <c r="I14" s="67" t="inlineStr"/>
      <c r="J14" s="67" t="inlineStr">
        <is>
          <t>Monday update to CEO</t>
        </is>
      </c>
    </row>
    <row r="15">
      <c r="A15" s="89" t="n">
        <v>46315</v>
      </c>
      <c r="B15" s="67" t="str">
        <f>IF(A15&lt;=Budget!$C$28,"Test",IF(A15&lt;=Budget!$C$29,"Scale","Last call"))</f>
        <v>Scale</v>
      </c>
      <c r="C15" s="75">
        <f>IF(A15&lt;=Budget!$C$28,Budget!$H$28/Budget!$D$28,IF(A15&lt;=Budget!$C$29,Budget!$H$29/Budget!$D$29,Budget!$H$30/Budget!$D$30))</f>
        <v>5644.000000000001</v>
      </c>
      <c r="D15" s="75">
        <f>IF(A15&lt;=Budget!$C$28,Budget!$I$28/Budget!$D$28,IF(A15&lt;=Budget!$C$29,Budget!$I$29/Budget!$D$29,Budget!$I$30/Budget!$D$30))</f>
        <v>1785.0</v>
      </c>
      <c r="E15" s="75">
        <f>IF(A15&lt;=Budget!$C$28,Budget!$J$28/Budget!$D$28,IF(A15&lt;=Budget!$C$29,Budget!$J$29/Budget!$D$29,Budget!$J$30/Budget!$D$30))</f>
        <v>1938.0</v>
      </c>
      <c r="F15" s="81">
        <f>SUM(C15:E15)</f>
        <v>9367.0</v>
      </c>
      <c r="G15" s="75">
        <f>SUM($F$4:F15)</f>
        <v>93119.0</v>
      </c>
      <c r="H15" s="92">
        <f>ROUND(Budget!$B$4+Budget!$B$5+(Budget!$B$11-Budget!$B$4-Budget!$B$5)*G15/Budget!$F$11,0)</f>
        <v>158.0</v>
      </c>
      <c r="I15" s="67" t="inlineStr"/>
      <c r="J15" s="67" t="inlineStr">
        <is>
          <t>7-day reminder email; email list reminder</t>
        </is>
      </c>
    </row>
    <row r="16">
      <c r="A16" s="89" t="n">
        <v>46316</v>
      </c>
      <c r="B16" s="67" t="str">
        <f>IF(A16&lt;=Budget!$C$28,"Test",IF(A16&lt;=Budget!$C$29,"Scale","Last call"))</f>
        <v>Scale</v>
      </c>
      <c r="C16" s="75">
        <f>IF(A16&lt;=Budget!$C$28,Budget!$H$28/Budget!$D$28,IF(A16&lt;=Budget!$C$29,Budget!$H$29/Budget!$D$29,Budget!$H$30/Budget!$D$30))</f>
        <v>5644.000000000001</v>
      </c>
      <c r="D16" s="75">
        <f>IF(A16&lt;=Budget!$C$28,Budget!$I$28/Budget!$D$28,IF(A16&lt;=Budget!$C$29,Budget!$I$29/Budget!$D$29,Budget!$I$30/Budget!$D$30))</f>
        <v>1785.0</v>
      </c>
      <c r="E16" s="75">
        <f>IF(A16&lt;=Budget!$C$28,Budget!$J$28/Budget!$D$28,IF(A16&lt;=Budget!$C$29,Budget!$J$29/Budget!$D$29,Budget!$J$30/Budget!$D$30))</f>
        <v>1938.0</v>
      </c>
      <c r="F16" s="81">
        <f>SUM(C16:E16)</f>
        <v>9367.0</v>
      </c>
      <c r="G16" s="75">
        <f>SUM($F$4:F16)</f>
        <v>102486.0</v>
      </c>
      <c r="H16" s="92">
        <f>ROUND(Budget!$B$4+Budget!$B$5+(Budget!$B$11-Budget!$B$4-Budget!$B$5)*G16/Budget!$F$11,0)</f>
        <v>171.0</v>
      </c>
      <c r="I16" s="67" t="inlineStr">
        <is>
          <t>Refresh 3: V9 bumper + new hooks</t>
        </is>
      </c>
      <c r="J16" s="67" t="inlineStr"/>
    </row>
    <row r="17">
      <c r="A17" s="89" t="n">
        <v>46317</v>
      </c>
      <c r="B17" s="67" t="str">
        <f>IF(A17&lt;=Budget!$C$28,"Test",IF(A17&lt;=Budget!$C$29,"Scale","Last call"))</f>
        <v>Scale</v>
      </c>
      <c r="C17" s="75">
        <f>IF(A17&lt;=Budget!$C$28,Budget!$H$28/Budget!$D$28,IF(A17&lt;=Budget!$C$29,Budget!$H$29/Budget!$D$29,Budget!$H$30/Budget!$D$30))</f>
        <v>5644.000000000001</v>
      </c>
      <c r="D17" s="75">
        <f>IF(A17&lt;=Budget!$C$28,Budget!$I$28/Budget!$D$28,IF(A17&lt;=Budget!$C$29,Budget!$I$29/Budget!$D$29,Budget!$I$30/Budget!$D$30))</f>
        <v>1785.0</v>
      </c>
      <c r="E17" s="75">
        <f>IF(A17&lt;=Budget!$C$28,Budget!$J$28/Budget!$D$28,IF(A17&lt;=Budget!$C$29,Budget!$J$29/Budget!$D$29,Budget!$J$30/Budget!$D$30))</f>
        <v>1938.0</v>
      </c>
      <c r="F17" s="81">
        <f>SUM(C17:E17)</f>
        <v>9367.0</v>
      </c>
      <c r="G17" s="75">
        <f>SUM($F$4:F17)</f>
        <v>111853.0</v>
      </c>
      <c r="H17" s="92">
        <f>ROUND(Budget!$B$4+Budget!$B$5+(Budget!$B$11-Budget!$B$4-Budget!$B$5)*G17/Budget!$F$11,0)</f>
        <v>184.0</v>
      </c>
      <c r="I17" s="67" t="inlineStr"/>
      <c r="J17" s="67" t="inlineStr"/>
    </row>
    <row r="18">
      <c r="A18" s="89" t="n">
        <v>46318</v>
      </c>
      <c r="B18" s="67" t="str">
        <f>IF(A18&lt;=Budget!$C$28,"Test",IF(A18&lt;=Budget!$C$29,"Scale","Last call"))</f>
        <v>Scale</v>
      </c>
      <c r="C18" s="75">
        <f>IF(A18&lt;=Budget!$C$28,Budget!$H$28/Budget!$D$28,IF(A18&lt;=Budget!$C$29,Budget!$H$29/Budget!$D$29,Budget!$H$30/Budget!$D$30))</f>
        <v>5644.000000000001</v>
      </c>
      <c r="D18" s="75">
        <f>IF(A18&lt;=Budget!$C$28,Budget!$I$28/Budget!$D$28,IF(A18&lt;=Budget!$C$29,Budget!$I$29/Budget!$D$29,Budget!$I$30/Budget!$D$30))</f>
        <v>1785.0</v>
      </c>
      <c r="E18" s="75">
        <f>IF(A18&lt;=Budget!$C$28,Budget!$J$28/Budget!$D$28,IF(A18&lt;=Budget!$C$29,Budget!$J$29/Budget!$D$29,Budget!$J$30/Budget!$D$30))</f>
        <v>1938.0</v>
      </c>
      <c r="F18" s="81">
        <f>SUM(C18:E18)</f>
        <v>9367.0</v>
      </c>
      <c r="G18" s="75">
        <f>SUM($F$4:F18)</f>
        <v>121220.0</v>
      </c>
      <c r="H18" s="92">
        <f>ROUND(Budget!$B$4+Budget!$B$5+(Budget!$B$11-Budget!$B$4-Budget!$B$5)*G18/Budget!$F$11,0)</f>
        <v>197.0</v>
      </c>
      <c r="I18" s="67" t="inlineStr"/>
      <c r="J18" s="67" t="inlineStr">
        <is>
          <t>Mock call (deck, audio, screen share)</t>
        </is>
      </c>
    </row>
    <row r="19">
      <c r="A19" s="89" t="n">
        <v>46319</v>
      </c>
      <c r="B19" s="67" t="str">
        <f>IF(A19&lt;=Budget!$C$28,"Test",IF(A19&lt;=Budget!$C$29,"Scale","Last call"))</f>
        <v>Last call</v>
      </c>
      <c r="C19" s="75">
        <f>IF(A19&lt;=Budget!$C$28,Budget!$H$28/Budget!$D$28,IF(A19&lt;=Budget!$C$29,Budget!$H$29/Budget!$D$29,Budget!$H$30/Budget!$D$30))</f>
        <v>3320.0</v>
      </c>
      <c r="D19" s="75">
        <f>IF(A19&lt;=Budget!$C$28,Budget!$I$28/Budget!$D$28,IF(A19&lt;=Budget!$C$29,Budget!$I$29/Budget!$D$29,Budget!$I$30/Budget!$D$30))</f>
        <v>1050.0</v>
      </c>
      <c r="E19" s="75">
        <f>IF(A19&lt;=Budget!$C$28,Budget!$J$28/Budget!$D$28,IF(A19&lt;=Budget!$C$29,Budget!$J$29/Budget!$D$29,Budget!$J$30/Budget!$D$30))</f>
        <v>1140.0</v>
      </c>
      <c r="F19" s="81">
        <f>SUM(C19:E19)</f>
        <v>5510.0</v>
      </c>
      <c r="G19" s="75">
        <f>SUM($F$4:F19)</f>
        <v>126730.0</v>
      </c>
      <c r="H19" s="92">
        <f>ROUND(Budget!$B$4+Budget!$B$5+(Budget!$B$11-Budget!$B$4-Budget!$B$5)*G19/Budget!$F$11,0)</f>
        <v>205.0</v>
      </c>
      <c r="I19" s="67" t="inlineStr">
        <is>
          <t>Last call: V10 + S5 countdowns</t>
        </is>
      </c>
      <c r="J19" s="67" t="inlineStr">
        <is>
          <t>3-day reminder email</t>
        </is>
      </c>
    </row>
    <row r="20">
      <c r="A20" s="89" t="n">
        <v>46320</v>
      </c>
      <c r="B20" s="67" t="str">
        <f>IF(A20&lt;=Budget!$C$28,"Test",IF(A20&lt;=Budget!$C$29,"Scale","Last call"))</f>
        <v>Last call</v>
      </c>
      <c r="C20" s="75">
        <f>IF(A20&lt;=Budget!$C$28,Budget!$H$28/Budget!$D$28,IF(A20&lt;=Budget!$C$29,Budget!$H$29/Budget!$D$29,Budget!$H$30/Budget!$D$30))</f>
        <v>3320.0</v>
      </c>
      <c r="D20" s="75">
        <f>IF(A20&lt;=Budget!$C$28,Budget!$I$28/Budget!$D$28,IF(A20&lt;=Budget!$C$29,Budget!$I$29/Budget!$D$29,Budget!$I$30/Budget!$D$30))</f>
        <v>1050.0</v>
      </c>
      <c r="E20" s="75">
        <f>IF(A20&lt;=Budget!$C$28,Budget!$J$28/Budget!$D$28,IF(A20&lt;=Budget!$C$29,Budget!$J$29/Budget!$D$29,Budget!$J$30/Budget!$D$30))</f>
        <v>1140.0</v>
      </c>
      <c r="F20" s="81">
        <f>SUM(C20:E20)</f>
        <v>5510.0</v>
      </c>
      <c r="G20" s="75">
        <f>SUM($F$4:F20)</f>
        <v>132240.0</v>
      </c>
      <c r="H20" s="92">
        <f>ROUND(Budget!$B$4+Budget!$B$5+(Budget!$B$11-Budget!$B$4-Budget!$B$5)*G20/Budget!$F$11,0)</f>
        <v>212.0</v>
      </c>
      <c r="I20" s="67" t="inlineStr"/>
      <c r="J20" s="67" t="inlineStr"/>
    </row>
    <row r="21">
      <c r="A21" s="89" t="n">
        <v>46321</v>
      </c>
      <c r="B21" s="67" t="str">
        <f>IF(A21&lt;=Budget!$C$28,"Test",IF(A21&lt;=Budget!$C$29,"Scale","Last call"))</f>
        <v>Last call</v>
      </c>
      <c r="C21" s="75">
        <f>IF(A21&lt;=Budget!$C$28,Budget!$H$28/Budget!$D$28,IF(A21&lt;=Budget!$C$29,Budget!$H$29/Budget!$D$29,Budget!$H$30/Budget!$D$30))</f>
        <v>3320.0</v>
      </c>
      <c r="D21" s="75">
        <f>IF(A21&lt;=Budget!$C$28,Budget!$I$28/Budget!$D$28,IF(A21&lt;=Budget!$C$29,Budget!$I$29/Budget!$D$29,Budget!$I$30/Budget!$D$30))</f>
        <v>1050.0</v>
      </c>
      <c r="E21" s="75">
        <f>IF(A21&lt;=Budget!$C$28,Budget!$J$28/Budget!$D$28,IF(A21&lt;=Budget!$C$29,Budget!$J$29/Budget!$D$29,Budget!$J$30/Budget!$D$30))</f>
        <v>1140.0</v>
      </c>
      <c r="F21" s="81">
        <f>SUM(C21:E21)</f>
        <v>5510.0</v>
      </c>
      <c r="G21" s="75">
        <f>SUM($F$4:F21)</f>
        <v>137750.0</v>
      </c>
      <c r="H21" s="92">
        <f>ROUND(Budget!$B$4+Budget!$B$5+(Budget!$B$11-Budget!$B$4-Budget!$B$5)*G21/Budget!$F$11,0)</f>
        <v>220.0</v>
      </c>
      <c r="I21" s="67" t="inlineStr">
        <is>
          <t>Ads stop at 11:59 PM</t>
        </is>
      </c>
      <c r="J21" s="67" t="inlineStr">
        <is>
          <t>Monday update to CEO; 1-day reminder</t>
        </is>
      </c>
    </row>
    <row r="22">
      <c r="A22" s="76" t="inlineStr">
        <is>
          <t>Total</t>
        </is>
      </c>
      <c r="B22" s="79" t="inlineStr"/>
      <c r="C22" s="78">
        <f>SUM(C4:C21)</f>
        <v>83000.0</v>
      </c>
      <c r="D22" s="78">
        <f>SUM(D4:D21)</f>
        <v>26250.0</v>
      </c>
      <c r="E22" s="78">
        <f>SUM(E4:E21)</f>
        <v>28500.0</v>
      </c>
      <c r="F22" s="78">
        <f>SUM(F4:F21)</f>
        <v>137750.0</v>
      </c>
      <c r="G22" s="76" t="str">
        <f>IF(ABS(F22-Budget!F11)&lt;1,"Matches Budget","Check")</f>
        <v>Matches Budget</v>
      </c>
      <c r="H22" s="77">
        <f>H21</f>
        <v>220.0</v>
      </c>
      <c r="I22" s="79" t="inlineStr"/>
      <c r="J22" s="79" t="inlineStr"/>
    </row>
    <row r="24">
      <c r="A24" s="63" t="inlineStr">
        <is>
          <t>Registrations by today assumes the 30 own-channel sign-ups arrive in week 1 and paid sign-ups follow spend. If you're 20% behind on any day, add budget to the best ad set and send an extra email.</t>
        </is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tabColor rgb="FF262626"/>
    <outlinePr summaryBelow="1" summaryRight="1"/>
    <pageSetUpPr fitToPage="1"/>
  </sheetPr>
  <dimension ref="A1:C30"/>
  <sheetViews>
    <sheetView showGridLines="0" workbookViewId="0">
      <selection activeCell="B19" sqref="B19"/>
    </sheetView>
  </sheetViews>
  <sheetFormatPr baseColWidth="8" defaultRowHeight="14.45"/>
  <cols>
    <col width="16" customWidth="1" min="1" max="1"/>
    <col width="70" customWidth="1" min="2" max="2"/>
    <col width="22" customWidth="1" min="3" max="3"/>
  </cols>
  <sheetData>
    <row r="1" ht="18.6" customHeight="1">
      <c r="A1" s="61" t="inlineStr">
        <is>
          <t>Timeline: webinar Tue 27-Oct-2026, 4:00–5:00 PM IST (backup Wed 28-Oct)</t>
        </is>
      </c>
      <c r="B1" s="62" t="n"/>
      <c r="C1" s="62" t="n"/>
    </row>
    <row r="2">
      <c r="A2" s="63" t="inlineStr">
        <is>
          <t>Updated 4-Oct. Ads now start Fri 9-Oct because the VSL and videos aren't recorded yet (Checklist row 26).</t>
        </is>
      </c>
      <c r="B2" s="62" t="n"/>
      <c r="C2" s="62" t="n"/>
    </row>
    <row r="3">
      <c r="A3" s="64" t="inlineStr">
        <is>
          <t>When</t>
        </is>
      </c>
      <c r="B3" s="64" t="inlineStr">
        <is>
          <t>What</t>
        </is>
      </c>
      <c r="C3" s="64" t="inlineStr">
        <is>
          <t>Owner</t>
        </is>
      </c>
    </row>
    <row r="4">
      <c r="A4" s="65" t="inlineStr">
        <is>
          <t>Sun 4-Oct</t>
        </is>
      </c>
      <c r="B4" s="67" t="inlineStr">
        <is>
          <t>Plan updated: 200 registrations, mass audience, VSL funnel, Meta + YouTube + Google</t>
        </is>
      </c>
      <c r="C4" s="67" t="inlineStr">
        <is>
          <t>Shourya</t>
        </is>
      </c>
    </row>
    <row r="5">
      <c r="A5" s="65" t="inlineStr">
        <is>
          <t>Mon 5-Oct</t>
        </is>
      </c>
      <c r="B5" s="67" t="inlineStr">
        <is>
          <t>CEO approves budget, benefits, LinkedIn pause and email rule (Decisions 3, 4, 10–13)</t>
        </is>
      </c>
      <c r="C5" s="67" t="inlineStr">
        <is>
          <t>CEO</t>
        </is>
      </c>
    </row>
    <row r="6">
      <c r="A6" s="65" t="inlineStr">
        <is>
          <t>Mon 5 / Tue 6-Oct</t>
        </is>
      </c>
      <c r="B6" s="67" t="inlineStr">
        <is>
          <t>2-hour shoot: VSL, CTO 30s, CEO 30s, whiteboard, podcast clip (Creatives tab)</t>
        </is>
      </c>
      <c r="C6" s="67" t="inlineStr">
        <is>
          <t>CEO + CTO</t>
        </is>
      </c>
    </row>
    <row r="7">
      <c r="A7" s="65" t="inlineStr">
        <is>
          <t>Wed 7-Oct</t>
        </is>
      </c>
      <c r="B7" s="67" t="inlineStr">
        <is>
          <t>Statics, carousels and Google ads ready; landing page with form and tracking live and tested</t>
        </is>
      </c>
      <c r="C7" s="67" t="inlineStr">
        <is>
          <t>Shourya + designer</t>
        </is>
      </c>
    </row>
    <row r="8">
      <c r="A8" s="65" t="inlineStr">
        <is>
          <t>Thu 8-Oct</t>
        </is>
      </c>
      <c r="B8" s="67" t="inlineStr">
        <is>
          <t>VSL and first 4 videos edited; invite to own email list + WhatsApp; CEO/CTO LinkedIn posts</t>
        </is>
      </c>
      <c r="C8" s="67" t="inlineStr">
        <is>
          <t>Shourya + editor</t>
        </is>
      </c>
    </row>
    <row r="9">
      <c r="A9" s="65" t="inlineStr">
        <is>
          <t>Fri 9-Oct</t>
        </is>
      </c>
      <c r="B9" s="67" t="inlineStr">
        <is>
          <t>Paid ads start: test stage (10 creatives)</t>
        </is>
      </c>
      <c r="C9" s="67" t="inlineStr">
        <is>
          <t>Shourya</t>
        </is>
      </c>
    </row>
    <row r="10">
      <c r="A10" s="65" t="inlineStr">
        <is>
          <t>Tue 13-Oct</t>
        </is>
      </c>
      <c r="B10" s="67" t="inlineStr">
        <is>
          <t>Test results reviewed with CEO; scale budget released or held</t>
        </is>
      </c>
      <c r="C10" s="67" t="inlineStr">
        <is>
          <t>CEO + Shourya</t>
        </is>
      </c>
    </row>
    <row r="11">
      <c r="A11" s="65" t="inlineStr">
        <is>
          <t>Wed 14-Oct</t>
        </is>
      </c>
      <c r="B11" s="67" t="inlineStr">
        <is>
          <t>Scale stage starts; retargeting on; creative refresh 1</t>
        </is>
      </c>
      <c r="C11" s="67" t="inlineStr">
        <is>
          <t>Shourya</t>
        </is>
      </c>
    </row>
    <row r="12">
      <c r="A12" s="65" t="inlineStr">
        <is>
          <t>Sun 18 / Wed 21-Oct</t>
        </is>
      </c>
      <c r="B12" s="67" t="inlineStr">
        <is>
          <t>Creative refresh 2 and 3</t>
        </is>
      </c>
      <c r="C12" s="67" t="inlineStr">
        <is>
          <t>Shourya + editor</t>
        </is>
      </c>
    </row>
    <row r="13">
      <c r="A13" s="65" t="inlineStr">
        <is>
          <t>Fri 23-Oct</t>
        </is>
      </c>
      <c r="B13" s="67" t="inlineStr">
        <is>
          <t>Full mock call: deck, timing, audio, screen share, Q&amp;A</t>
        </is>
      </c>
      <c r="C13" s="67" t="inlineStr">
        <is>
          <t>CEO + CTO + Shourya</t>
        </is>
      </c>
    </row>
    <row r="14">
      <c r="A14" s="65" t="inlineStr">
        <is>
          <t>Sat 24-Oct</t>
        </is>
      </c>
      <c r="B14" s="67" t="inlineStr">
        <is>
          <t>Last call: countdown creatives, 3-day reminder</t>
        </is>
      </c>
      <c r="C14" s="67" t="inlineStr">
        <is>
          <t>Shourya</t>
        </is>
      </c>
    </row>
    <row r="15">
      <c r="A15" s="65" t="inlineStr">
        <is>
          <t>Mon 26-Oct</t>
        </is>
      </c>
      <c r="B15" s="67" t="inlineStr">
        <is>
          <t>Ads stop at 11:59 PM; 1-day reminder</t>
        </is>
      </c>
      <c r="C15" s="67" t="inlineStr">
        <is>
          <t>Shourya</t>
        </is>
      </c>
    </row>
    <row r="16">
      <c r="A16" s="65" t="inlineStr">
        <is>
          <t>Tue 27-Oct</t>
        </is>
      </c>
      <c r="B16" s="67" t="inlineStr">
        <is>
          <t>Live webinar, 4:00 PM</t>
        </is>
      </c>
      <c r="C16" s="67" t="inlineStr">
        <is>
          <t>CEO + CTO</t>
        </is>
      </c>
    </row>
    <row r="17">
      <c r="A17" s="65" t="inlineStr">
        <is>
          <t>27–30 Oct</t>
        </is>
      </c>
      <c r="B17" s="67" t="inlineStr">
        <is>
          <t>Follow-up: certificate, toolkit, recording to no-shows, booking link, sales calls</t>
        </is>
      </c>
      <c r="C17" s="67" t="inlineStr">
        <is>
          <t>Shourya + Sales</t>
        </is>
      </c>
    </row>
    <row r="18">
      <c r="A18" s="65" t="inlineStr">
        <is>
          <t>By Mon 2-Nov</t>
        </is>
      </c>
      <c r="B18" s="67" t="inlineStr">
        <is>
          <t>Post-mortem: real cost per registration, show-up rate, meetings booked</t>
        </is>
      </c>
      <c r="C18" s="67" t="inlineStr">
        <is>
          <t>Shourya</t>
        </is>
      </c>
    </row>
    <row r="19">
      <c r="A19" s="62" t="n"/>
      <c r="B19" s="62" t="n"/>
      <c r="C19" s="62" t="n"/>
    </row>
    <row r="20">
      <c r="A20" s="62" t="n"/>
      <c r="B20" s="62" t="n"/>
      <c r="C20" s="62" t="n"/>
    </row>
    <row r="21">
      <c r="A21" s="62" t="n"/>
      <c r="B21" s="62" t="inlineStr">
        <is>
          <t>phase wise presenattion</t>
        </is>
      </c>
      <c r="C21" s="62" t="n"/>
    </row>
    <row r="22">
      <c r="A22" s="62" t="n"/>
      <c r="B22" s="62" t="n"/>
      <c r="C22" s="62" t="n"/>
    </row>
    <row r="23">
      <c r="A23" s="62" t="n"/>
      <c r="B23" s="62" t="n"/>
      <c r="C23" s="62" t="n"/>
    </row>
    <row r="24">
      <c r="A24" s="62" t="n"/>
      <c r="B24" s="62" t="n"/>
      <c r="C24" s="62" t="n"/>
    </row>
    <row r="25">
      <c r="A25" s="62" t="n"/>
      <c r="B25" s="62" t="n"/>
      <c r="C25" s="62" t="n"/>
    </row>
    <row r="26">
      <c r="A26" s="62" t="n"/>
      <c r="B26" s="62" t="n"/>
      <c r="C26" s="62" t="n"/>
    </row>
    <row r="27">
      <c r="A27" s="62" t="n"/>
      <c r="B27" s="62" t="n"/>
      <c r="C27" s="62" t="n"/>
    </row>
    <row r="28">
      <c r="A28" s="62" t="n"/>
      <c r="B28" s="62" t="n"/>
      <c r="C28" s="62" t="n"/>
    </row>
    <row r="29">
      <c r="A29" s="62" t="n"/>
      <c r="B29" s="62" t="n"/>
      <c r="C29" s="62" t="n"/>
    </row>
    <row r="30">
      <c r="A30" s="62" t="n"/>
      <c r="B30" s="62" t="n"/>
      <c r="C30" s="62" t="n"/>
    </row>
  </sheetData>
  <pageMargins left="0.75" right="0.75" top="1" bottom="1" header="0.5" footer="0.5"/>
  <pageSetup orientation="landscape" fitToHeight="0"/>
</worksheet>
</file>

<file path=xl/worksheets/sheet12.xml><?xml version="1.0" encoding="utf-8"?>
<worksheet xmlns="http://schemas.openxmlformats.org/spreadsheetml/2006/main">
  <sheetPr>
    <tabColor rgb="FFFFB42A"/>
    <outlinePr summaryBelow="1" summaryRight="1"/>
    <pageSetUpPr fitToPage="1"/>
  </sheetPr>
  <dimension ref="A1:E18"/>
  <sheetViews>
    <sheetView showGridLines="0" workbookViewId="0">
      <selection activeCell="C16" sqref="C16"/>
    </sheetView>
  </sheetViews>
  <sheetFormatPr baseColWidth="8" defaultRowHeight="14.45"/>
  <cols>
    <col width="5" customWidth="1" min="1" max="1"/>
    <col width="34" customWidth="1" min="2" max="2"/>
    <col width="50" customWidth="1" min="3" max="3"/>
    <col width="38" customWidth="1" min="4" max="4"/>
    <col width="22" customWidth="1" min="5" max="5"/>
  </cols>
  <sheetData>
    <row r="1" ht="18.6" customHeight="1">
      <c r="A1" s="1" t="inlineStr">
        <is>
          <t>Decisions needed from the CEO</t>
        </is>
      </c>
    </row>
    <row r="3">
      <c r="A3" s="53" t="inlineStr">
        <is>
          <t>#</t>
        </is>
      </c>
      <c r="B3" s="53" t="inlineStr">
        <is>
          <t>Decision</t>
        </is>
      </c>
      <c r="C3" s="53" t="inlineStr">
        <is>
          <t>My recommendation</t>
        </is>
      </c>
      <c r="D3" s="53" t="inlineStr">
        <is>
          <t>What it unblocks</t>
        </is>
      </c>
      <c r="E3" s="53" t="inlineStr">
        <is>
          <t>CEO decision</t>
        </is>
      </c>
    </row>
    <row r="4">
      <c r="A4" s="9" t="inlineStr">
        <is>
          <t>1</t>
        </is>
      </c>
      <c r="B4" s="50" t="inlineStr">
        <is>
          <t>Topic, title and promise</t>
        </is>
      </c>
      <c r="C4" s="50" t="inlineStr">
        <is>
          <t>Topic 2, Title A, Promise A</t>
        </is>
      </c>
      <c r="D4" s="50" t="inlineStr">
        <is>
          <t>All creative, landing page, deck example</t>
        </is>
      </c>
      <c r="E4" s="28" t="n"/>
    </row>
    <row r="5">
      <c r="A5" s="9" t="inlineStr">
        <is>
          <t>2</t>
        </is>
      </c>
      <c r="B5" s="50" t="inlineStr">
        <is>
          <t>Date and time</t>
        </is>
      </c>
      <c r="C5" s="50" t="inlineStr">
        <is>
          <t>Tue 27-Oct-2026, 4:00 PM IST (backup Wed 28-Oct)</t>
        </is>
      </c>
      <c r="D5" s="50" t="inlineStr">
        <is>
          <t>The whole calendar</t>
        </is>
      </c>
      <c r="E5" s="28" t="n"/>
    </row>
    <row r="6">
      <c r="A6" s="9" t="inlineStr">
        <is>
          <t>3</t>
        </is>
      </c>
      <c r="B6" s="50" t="inlineStr">
        <is>
          <t>Registration target</t>
        </is>
      </c>
      <c r="C6" s="56" t="str">
        <f>"200 registrations (pilot, mass audience) → about "&amp;Funnel!B8&amp;" live"</f>
        <v>200 registrations (pilot, mass audience) → about 50 live</v>
      </c>
      <c r="D6" s="50" t="inlineStr">
        <is>
          <t>Budget and daily pacing</t>
        </is>
      </c>
      <c r="E6" s="28" t="n"/>
    </row>
    <row r="7" ht="29.1" customHeight="1">
      <c r="A7" s="9" t="inlineStr">
        <is>
          <t>4</t>
        </is>
      </c>
      <c r="B7" s="50" t="inlineStr">
        <is>
          <t>Budget</t>
        </is>
      </c>
      <c r="C7" s="56" t="str">
        <f>"₹"&amp;TEXT(Budget!F11,"#,##0")&amp;" media ex-GST (₹"&amp;TEXT(Budget!F22,"#,##0")&amp;" all-in); release the ₹"&amp;TEXT(Budget!F28,"#,##0")&amp;" test budget first"</f>
        <v>₹137,750 media ex-GST (₹226,125 all-in); release the ₹27,550 test budget first</v>
      </c>
      <c r="D7" s="50" t="inlineStr">
        <is>
          <t>Campaign launch</t>
        </is>
      </c>
      <c r="E7" s="28" t="n"/>
    </row>
    <row r="8" ht="29.1" customHeight="1">
      <c r="A8" s="9" t="inlineStr">
        <is>
          <t>5</t>
        </is>
      </c>
      <c r="B8" s="50" t="inlineStr">
        <is>
          <t>Tool spend</t>
        </is>
      </c>
      <c r="C8" s="56" t="str">
        <f>"Zoom ₹1,580 (100 seats) + WhatsApp/email ₹5,000; expected live = "&amp;Funnel!B8</f>
        <v>Zoom ₹1,580 (100 seats) + WhatsApp/email ₹5,000; expected live = 50</v>
      </c>
      <c r="D8" s="50" t="inlineStr">
        <is>
          <t>Registration and reminders</t>
        </is>
      </c>
      <c r="E8" s="28" t="n"/>
    </row>
    <row r="9">
      <c r="A9" s="9" t="inlineStr">
        <is>
          <t>6</t>
        </is>
      </c>
      <c r="B9" s="50" t="inlineStr">
        <is>
          <t>IT-services employees in the audience?</t>
        </is>
      </c>
      <c r="C9" s="50" t="inlineStr">
        <is>
          <t>Leave them out of paid ads; allow organic sign-ups</t>
        </is>
      </c>
      <c r="D9" s="50" t="inlineStr">
        <is>
          <t>Targeting set-up</t>
        </is>
      </c>
      <c r="E9" s="28" t="n"/>
    </row>
    <row r="10">
      <c r="A10" s="9" t="inlineStr">
        <is>
          <t>7</t>
        </is>
      </c>
      <c r="B10" s="50" t="inlineStr">
        <is>
          <t>Speakers</t>
        </is>
      </c>
      <c r="C10" s="50" t="inlineStr">
        <is>
          <t>Confirmed once the topic is picked</t>
        </is>
      </c>
      <c r="D10" s="50" t="inlineStr">
        <is>
          <t>Landing page, video shoot</t>
        </is>
      </c>
      <c r="E10" s="28" t="n"/>
    </row>
    <row r="11">
      <c r="A11" s="9" t="inlineStr">
        <is>
          <t>8</t>
        </is>
      </c>
      <c r="B11" s="50" t="inlineStr">
        <is>
          <t>Sales owner for follow-up</t>
        </is>
      </c>
      <c r="C11" s="50" t="inlineStr">
        <is>
          <t>One named person, calls within 48 hours</t>
        </is>
      </c>
      <c r="D11" s="50" t="inlineStr">
        <is>
          <t>Follow-up sequence</t>
        </is>
      </c>
      <c r="E11" s="28" t="n"/>
    </row>
    <row r="12">
      <c r="A12" s="9" t="inlineStr">
        <is>
          <t>9</t>
        </is>
      </c>
      <c r="B12" s="50" t="inlineStr">
        <is>
          <t>One-off or a series?</t>
        </is>
      </c>
      <c r="C12" s="50" t="inlineStr">
        <is>
          <t>A series, “Think Like a CTO”</t>
        </is>
      </c>
      <c r="D12" s="50" t="inlineStr">
        <is>
          <t>Reusable pages and lists</t>
        </is>
      </c>
      <c r="E12" s="28" t="n"/>
    </row>
    <row r="13">
      <c r="A13" s="9" t="inlineStr">
        <is>
          <t>10</t>
        </is>
      </c>
      <c r="B13" s="50" t="inlineStr">
        <is>
          <t>Paid LinkedIn for the pilot?</t>
        </is>
      </c>
      <c r="C13" s="56" t="inlineStr">
        <is>
          <t>Pause. At ₹2,500 per registration it doesn't fit a mass target. Use CEO/CTO posts instead.</t>
        </is>
      </c>
      <c r="D13" s="50" t="inlineStr">
        <is>
          <t>Budget split</t>
        </is>
      </c>
      <c r="E13" s="28" t="n"/>
    </row>
    <row r="14">
      <c r="A14" s="9" t="inlineStr">
        <is>
          <t>11</t>
        </is>
      </c>
      <c r="B14" s="50" t="inlineStr">
        <is>
          <t>Business email only?</t>
        </is>
      </c>
      <c r="C14" s="56" t="inlineStr">
        <is>
          <t>For the pilot, accept any email but ask for the company name. Business-only would cut registrations roughly in half.</t>
        </is>
      </c>
      <c r="D14" s="50" t="inlineStr">
        <is>
          <t>Form set-up, volume</t>
        </is>
      </c>
      <c r="E14" s="28" t="n"/>
    </row>
    <row r="15">
      <c r="A15" s="9" t="inlineStr">
        <is>
          <t>12</t>
        </is>
      </c>
      <c r="B15" s="50" t="inlineStr">
        <is>
          <t>Registration benefits</t>
        </is>
      </c>
      <c r="C15" s="56" t="inlineStr">
        <is>
          <t>Approve the Benefits tab, including the ₹20,000 lucky draw and 10 free 1:1 review slots</t>
        </is>
      </c>
      <c r="D15" s="50" t="inlineStr">
        <is>
          <t>Ads, VSL, landing page</t>
        </is>
      </c>
      <c r="E15" s="28" t="n"/>
    </row>
    <row r="16">
      <c r="A16" s="9" t="inlineStr">
        <is>
          <t>13</t>
        </is>
      </c>
      <c r="B16" s="50" t="inlineStr">
        <is>
          <t>Creative production</t>
        </is>
      </c>
      <c r="C16" s="56" t="str">
        <f>"Approve ₹"&amp;TEXT(Creatives!F38,"#,##0")&amp;" and a 2-hour CEO + CTO shoot on Mon 5 or Tue 6 Oct"</f>
        <v>Approve ₹37,000 and a 2-hour CEO + CTO shoot on Mon 5 or Tue 6 Oct</v>
      </c>
      <c r="D16" s="50" t="inlineStr">
        <is>
          <t>All ads and the VSL</t>
        </is>
      </c>
      <c r="E16" s="28" t="n"/>
    </row>
    <row r="18">
      <c r="A18" s="60" t="inlineStr">
        <is>
          <t>Green = changed or added on 4-Oct.</t>
        </is>
      </c>
    </row>
  </sheetData>
  <pageMargins left="0.75" right="0.75" top="1" bottom="1" header="0.5" footer="0.5"/>
  <pageSetup orientation="landscape" fitToHeight="0"/>
</worksheet>
</file>

<file path=xl/worksheets/sheet13.xml><?xml version="1.0" encoding="utf-8"?>
<worksheet xmlns="http://schemas.openxmlformats.org/spreadsheetml/2006/main">
  <sheetPr>
    <tabColor rgb="FF262626"/>
    <outlinePr summaryBelow="1" summaryRight="1"/>
    <pageSetUpPr fitToPage="1"/>
  </sheetPr>
  <dimension ref="A1:D59"/>
  <sheetViews>
    <sheetView showGridLines="0" workbookViewId="0">
      <pane ySplit="3" topLeftCell="A37" activePane="bottomLeft" state="frozen"/>
      <selection pane="bottomLeft" activeCell="A48" sqref="A48"/>
    </sheetView>
  </sheetViews>
  <sheetFormatPr baseColWidth="8" defaultRowHeight="15"/>
  <cols>
    <col width="33" customWidth="1" style="37" min="1" max="1"/>
    <col width="62" customWidth="1" min="2" max="2"/>
    <col width="16" customWidth="1" min="3" max="3"/>
    <col width="12" customWidth="1" min="4" max="4"/>
  </cols>
  <sheetData>
    <row r="1" ht="37.5" customHeight="1">
      <c r="A1" s="38" t="inlineStr">
        <is>
          <t>Execution checklist</t>
        </is>
      </c>
    </row>
    <row r="2">
      <c r="A2" s="39" t="inlineStr">
        <is>
          <t>Done:</t>
        </is>
      </c>
      <c r="B2" s="6" t="str">
        <f>COUNTIF(D4:D59,"Done")&amp;" of "&amp;COUNTA(B4:B59)</f>
        <v>3 of 56</v>
      </c>
    </row>
    <row r="3">
      <c r="A3" s="53" t="inlineStr">
        <is>
          <t>Area</t>
        </is>
      </c>
      <c r="B3" s="53" t="inlineStr">
        <is>
          <t>Item</t>
        </is>
      </c>
      <c r="C3" s="53" t="inlineStr">
        <is>
          <t>Owner</t>
        </is>
      </c>
      <c r="D3" s="53" t="inlineStr">
        <is>
          <t>Status</t>
        </is>
      </c>
    </row>
    <row r="4">
      <c r="A4" s="50" t="inlineStr">
        <is>
          <t>Topic and content</t>
        </is>
      </c>
      <c r="B4" s="50" t="inlineStr">
        <is>
          <t>Topic, title and promise statement locked</t>
        </is>
      </c>
      <c r="C4" s="50" t="inlineStr">
        <is>
          <t>CEO</t>
        </is>
      </c>
      <c r="D4" s="29" t="inlineStr">
        <is>
          <t>In progress</t>
        </is>
      </c>
    </row>
    <row r="5">
      <c r="A5" s="50" t="inlineStr">
        <is>
          <t>Topic and content</t>
        </is>
      </c>
      <c r="B5" s="50" t="inlineStr">
        <is>
          <t>Speakers confirmed for the chosen topic</t>
        </is>
      </c>
      <c r="C5" s="50" t="inlineStr">
        <is>
          <t>CEO</t>
        </is>
      </c>
      <c r="D5" s="29" t="inlineStr">
        <is>
          <t>In progress</t>
        </is>
      </c>
    </row>
    <row r="6">
      <c r="A6" s="50" t="inlineStr">
        <is>
          <t>Topic and content</t>
        </is>
      </c>
      <c r="B6" s="50" t="inlineStr">
        <is>
          <t>Deck adapted and trimmed to 45 minutes</t>
        </is>
      </c>
      <c r="C6" s="50" t="inlineStr">
        <is>
          <t>CTO</t>
        </is>
      </c>
      <c r="D6" s="29" t="inlineStr">
        <is>
          <t>Not started</t>
        </is>
      </c>
    </row>
    <row r="7">
      <c r="A7" s="50" t="inlineStr">
        <is>
          <t>Topic and content</t>
        </is>
      </c>
      <c r="B7" s="50" t="inlineStr">
        <is>
          <t>Worked example chosen and cleared for sharing</t>
        </is>
      </c>
      <c r="C7" s="50" t="inlineStr">
        <is>
          <t>CTO</t>
        </is>
      </c>
      <c r="D7" s="29" t="inlineStr">
        <is>
          <t>Not started</t>
        </is>
      </c>
    </row>
    <row r="8">
      <c r="A8" s="50" t="inlineStr">
        <is>
          <t>Topic and content</t>
        </is>
      </c>
      <c r="B8" s="50" t="inlineStr">
        <is>
          <t>15 minutes of Q&amp;A kept in the runtime</t>
        </is>
      </c>
      <c r="C8" s="50" t="inlineStr">
        <is>
          <t>CTO</t>
        </is>
      </c>
      <c r="D8" s="29" t="inlineStr">
        <is>
          <t>Not started</t>
        </is>
      </c>
    </row>
    <row r="9">
      <c r="A9" s="50" t="inlineStr">
        <is>
          <t>Topic and content</t>
        </is>
      </c>
      <c r="B9" s="50" t="inlineStr">
        <is>
          <t>Live poll questions written</t>
        </is>
      </c>
      <c r="C9" s="50" t="inlineStr">
        <is>
          <t>Shourya</t>
        </is>
      </c>
      <c r="D9" s="29" t="inlineStr">
        <is>
          <t>Not started</t>
        </is>
      </c>
    </row>
    <row r="10">
      <c r="A10" s="50" t="inlineStr">
        <is>
          <t>Audience and targeting</t>
        </is>
      </c>
      <c r="B10" s="50" t="inlineStr">
        <is>
          <t>Job title list and experience band (10–15 years) approved</t>
        </is>
      </c>
      <c r="C10" s="50" t="inlineStr">
        <is>
          <t>Shourya</t>
        </is>
      </c>
      <c r="D10" s="29" t="inlineStr">
        <is>
          <t>Done</t>
        </is>
      </c>
    </row>
    <row r="11">
      <c r="A11" s="50" t="inlineStr">
        <is>
          <t>Audience and targeting</t>
        </is>
      </c>
      <c r="B11" s="50" t="inlineStr">
        <is>
          <t>Decision taken on IT-services companies</t>
        </is>
      </c>
      <c r="C11" s="50" t="inlineStr">
        <is>
          <t>CEO</t>
        </is>
      </c>
      <c r="D11" s="29" t="inlineStr">
        <is>
          <t>Done</t>
        </is>
      </c>
    </row>
    <row r="12">
      <c r="A12" s="50" t="inlineStr">
        <is>
          <t>Audience and targeting</t>
        </is>
      </c>
      <c r="B12" s="50" t="inlineStr">
        <is>
          <t>Exclusion lists built: competitors, existing clients, students, job seekers</t>
        </is>
      </c>
      <c r="C12" s="50" t="inlineStr">
        <is>
          <t>Shourya</t>
        </is>
      </c>
      <c r="D12" s="29" t="inlineStr">
        <is>
          <t>Done</t>
        </is>
      </c>
    </row>
    <row r="13">
      <c r="A13" s="50" t="inlineStr">
        <is>
          <t>Audience and targeting</t>
        </is>
      </c>
      <c r="B13" s="50" t="inlineStr">
        <is>
          <t>Own email list cleaned and segmented</t>
        </is>
      </c>
      <c r="C13" s="50" t="inlineStr">
        <is>
          <t>Shourya</t>
        </is>
      </c>
      <c r="D13" s="29" t="inlineStr">
        <is>
          <t>Not started</t>
        </is>
      </c>
    </row>
    <row r="14">
      <c r="A14" s="50" t="inlineStr">
        <is>
          <t>Audience and targeting</t>
        </is>
      </c>
      <c r="B14" s="50" t="inlineStr">
        <is>
          <t>Meta targeting built with AND logic (titles AND interests)</t>
        </is>
      </c>
      <c r="C14" s="50" t="inlineStr">
        <is>
          <t>Shourya</t>
        </is>
      </c>
      <c r="D14" s="29" t="inlineStr">
        <is>
          <t>Not started</t>
        </is>
      </c>
    </row>
    <row r="15">
      <c r="A15" s="50" t="inlineStr">
        <is>
          <t>Registration and data</t>
        </is>
      </c>
      <c r="B15" s="50" t="inlineStr">
        <is>
          <t>Form built: 5 fields, business email check, “Not sure” option</t>
        </is>
      </c>
      <c r="C15" s="50" t="inlineStr">
        <is>
          <t>Shourya</t>
        </is>
      </c>
      <c r="D15" s="29" t="inlineStr">
        <is>
          <t>Not started</t>
        </is>
      </c>
    </row>
    <row r="16">
      <c r="A16" s="50" t="inlineStr">
        <is>
          <t>Registration and data</t>
        </is>
      </c>
      <c r="B16" s="50" t="inlineStr">
        <is>
          <t>Thank-you page questions live</t>
        </is>
      </c>
      <c r="C16" s="50" t="inlineStr">
        <is>
          <t>Shourya</t>
        </is>
      </c>
      <c r="D16" s="29" t="inlineStr">
        <is>
          <t>Not started</t>
        </is>
      </c>
    </row>
    <row r="17">
      <c r="A17" s="50" t="inlineStr">
        <is>
          <t>Registration and data</t>
        </is>
      </c>
      <c r="B17" s="50" t="inlineStr">
        <is>
          <t>Data-use notice and WhatsApp opt-in box on the form</t>
        </is>
      </c>
      <c r="C17" s="50" t="inlineStr">
        <is>
          <t>Shourya</t>
        </is>
      </c>
      <c r="D17" s="29" t="inlineStr">
        <is>
          <t>Not started</t>
        </is>
      </c>
    </row>
    <row r="18">
      <c r="A18" s="50" t="inlineStr">
        <is>
          <t>Registration and data</t>
        </is>
      </c>
      <c r="B18" s="50" t="inlineStr">
        <is>
          <t>Form → Zoom → CRM connection tested end to end</t>
        </is>
      </c>
      <c r="C18" s="50" t="inlineStr">
        <is>
          <t>Shourya</t>
        </is>
      </c>
      <c r="D18" s="29" t="inlineStr">
        <is>
          <t>Not started</t>
        </is>
      </c>
    </row>
    <row r="19">
      <c r="A19" s="50" t="inlineStr">
        <is>
          <t>Registration and data</t>
        </is>
      </c>
      <c r="B19" s="50" t="inlineStr">
        <is>
          <t>Confirmation email and calendar invite sent automatically</t>
        </is>
      </c>
      <c r="C19" s="50" t="inlineStr">
        <is>
          <t>Shourya</t>
        </is>
      </c>
      <c r="D19" s="29" t="inlineStr">
        <is>
          <t>Not started</t>
        </is>
      </c>
    </row>
    <row r="20">
      <c r="A20" s="50" t="inlineStr">
        <is>
          <t>Registration and data</t>
        </is>
      </c>
      <c r="B20" s="50" t="inlineStr">
        <is>
          <t>Lead scoring rules set up in the CRM</t>
        </is>
      </c>
      <c r="C20" s="50" t="inlineStr">
        <is>
          <t>Shourya</t>
        </is>
      </c>
      <c r="D20" s="29" t="inlineStr">
        <is>
          <t>Not started</t>
        </is>
      </c>
    </row>
    <row r="21">
      <c r="A21" s="50" t="inlineStr">
        <is>
          <t>Tracking</t>
        </is>
      </c>
      <c r="B21" s="50" t="inlineStr">
        <is>
          <t>Lead event fires only on a real form submission (tested)</t>
        </is>
      </c>
      <c r="C21" s="50" t="inlineStr">
        <is>
          <t>Shourya</t>
        </is>
      </c>
      <c r="D21" s="29" t="inlineStr">
        <is>
          <t>Not started</t>
        </is>
      </c>
    </row>
    <row r="22">
      <c r="A22" s="50" t="inlineStr">
        <is>
          <t>Tracking</t>
        </is>
      </c>
      <c r="B22" s="50" t="inlineStr">
        <is>
          <t>LinkedIn Insight Tag fixed and firing</t>
        </is>
      </c>
      <c r="C22" s="50" t="inlineStr">
        <is>
          <t>Shourya</t>
        </is>
      </c>
      <c r="D22" s="29" t="inlineStr">
        <is>
          <t>Not started</t>
        </is>
      </c>
    </row>
    <row r="23">
      <c r="A23" s="50" t="inlineStr">
        <is>
          <t>Tracking</t>
        </is>
      </c>
      <c r="B23" s="50" t="inlineStr">
        <is>
          <t>Meta Pixel registration event tested</t>
        </is>
      </c>
      <c r="C23" s="50" t="inlineStr">
        <is>
          <t>Shourya</t>
        </is>
      </c>
      <c r="D23" s="29" t="inlineStr">
        <is>
          <t>Not started</t>
        </is>
      </c>
    </row>
    <row r="24">
      <c r="A24" s="50" t="inlineStr">
        <is>
          <t>Tracking</t>
        </is>
      </c>
      <c r="B24" s="50" t="inlineStr">
        <is>
          <t>UTM naming set for every ad, email and post</t>
        </is>
      </c>
      <c r="C24" s="50" t="inlineStr">
        <is>
          <t>Shourya</t>
        </is>
      </c>
      <c r="D24" s="29" t="inlineStr">
        <is>
          <t>Not started</t>
        </is>
      </c>
    </row>
    <row r="25" ht="30.75" customHeight="1">
      <c r="A25" s="50" t="inlineStr">
        <is>
          <t>Landing page and creative</t>
        </is>
      </c>
      <c r="B25" s="50" t="inlineStr">
        <is>
          <t>Landing page with the promise above the fold</t>
        </is>
      </c>
      <c r="C25" s="50" t="inlineStr">
        <is>
          <t>Shourya</t>
        </is>
      </c>
      <c r="D25" s="29" t="inlineStr">
        <is>
          <t>Not started</t>
        </is>
      </c>
    </row>
    <row r="26" ht="30.75" customHeight="1">
      <c r="A26" s="50" t="inlineStr">
        <is>
          <t>Landing page and creative</t>
        </is>
      </c>
      <c r="B26" s="50" t="inlineStr">
        <is>
          <t>CEO/CTO video recorded and embedded</t>
        </is>
      </c>
      <c r="C26" s="50" t="inlineStr">
        <is>
          <t>CEO + CTO</t>
        </is>
      </c>
      <c r="D26" s="29" t="inlineStr">
        <is>
          <t>Not started</t>
        </is>
      </c>
    </row>
    <row r="27" ht="30.75" customHeight="1">
      <c r="A27" s="50" t="inlineStr">
        <is>
          <t>Landing page and creative</t>
        </is>
      </c>
      <c r="B27" s="50" t="inlineStr">
        <is>
          <t>Speaker section and agenda written</t>
        </is>
      </c>
      <c r="C27" s="50" t="inlineStr">
        <is>
          <t>Shourya</t>
        </is>
      </c>
      <c r="D27" s="29" t="inlineStr">
        <is>
          <t>Not started</t>
        </is>
      </c>
    </row>
    <row r="28" ht="30.75" customHeight="1">
      <c r="A28" s="50" t="inlineStr">
        <is>
          <t>Landing page and creative</t>
        </is>
      </c>
      <c r="B28" s="50" t="inlineStr">
        <is>
          <t>Checked on mobile</t>
        </is>
      </c>
      <c r="C28" s="50" t="inlineStr">
        <is>
          <t>Shourya</t>
        </is>
      </c>
      <c r="D28" s="29" t="inlineStr">
        <is>
          <t>Not started</t>
        </is>
      </c>
    </row>
    <row r="29" ht="30.75" customHeight="1">
      <c r="A29" s="50" t="inlineStr">
        <is>
          <t>Landing page and creative</t>
        </is>
      </c>
      <c r="B29" s="50" t="inlineStr">
        <is>
          <t>3+ static creatives, 1 carousel, 1 short video per stage</t>
        </is>
      </c>
      <c r="C29" s="50" t="inlineStr">
        <is>
          <t>Shourya</t>
        </is>
      </c>
      <c r="D29" s="29" t="inlineStr">
        <is>
          <t>Not started</t>
        </is>
      </c>
    </row>
    <row r="30">
      <c r="A30" s="50" t="inlineStr">
        <is>
          <t>Media</t>
        </is>
      </c>
      <c r="B30" s="50" t="inlineStr">
        <is>
          <t>Test budget approved</t>
        </is>
      </c>
      <c r="C30" s="50" t="inlineStr">
        <is>
          <t>CEO</t>
        </is>
      </c>
      <c r="D30" s="29" t="inlineStr">
        <is>
          <t>Not started</t>
        </is>
      </c>
    </row>
    <row r="31">
      <c r="A31" s="50" t="inlineStr">
        <is>
          <t>Media</t>
        </is>
      </c>
      <c r="B31" s="50" t="inlineStr">
        <is>
          <t>Campaigns built and named consistently</t>
        </is>
      </c>
      <c r="C31" s="50" t="inlineStr">
        <is>
          <t>Shourya</t>
        </is>
      </c>
      <c r="D31" s="29" t="inlineStr">
        <is>
          <t>Not started</t>
        </is>
      </c>
    </row>
    <row r="32">
      <c r="A32" s="50" t="inlineStr">
        <is>
          <t>Media</t>
        </is>
      </c>
      <c r="B32" s="50" t="inlineStr">
        <is>
          <t>Daily pacing sheet against the 150 target</t>
        </is>
      </c>
      <c r="C32" s="50" t="inlineStr">
        <is>
          <t>Shourya</t>
        </is>
      </c>
      <c r="D32" s="29" t="inlineStr">
        <is>
          <t>Not started</t>
        </is>
      </c>
    </row>
    <row r="33">
      <c r="A33" s="50" t="inlineStr">
        <is>
          <t>Media</t>
        </is>
      </c>
      <c r="B33" s="50" t="inlineStr">
        <is>
          <t>Day-5 review booked with the CEO</t>
        </is>
      </c>
      <c r="C33" s="50" t="inlineStr">
        <is>
          <t>Shourya</t>
        </is>
      </c>
      <c r="D33" s="29" t="inlineStr">
        <is>
          <t>Not started</t>
        </is>
      </c>
    </row>
    <row r="34">
      <c r="A34" s="50" t="inlineStr">
        <is>
          <t>Media</t>
        </is>
      </c>
      <c r="B34" s="50" t="inlineStr">
        <is>
          <t>Rules for pausing weak creatives written down</t>
        </is>
      </c>
      <c r="C34" s="50" t="inlineStr">
        <is>
          <t>Shourya</t>
        </is>
      </c>
      <c r="D34" s="29" t="inlineStr">
        <is>
          <t>Not started</t>
        </is>
      </c>
    </row>
    <row r="35" ht="30.75" customHeight="1">
      <c r="A35" s="50" t="inlineStr">
        <is>
          <t>Reminders and follow-up</t>
        </is>
      </c>
      <c r="B35" s="50" t="inlineStr">
        <is>
          <t>Email reminders written: 7 days, 1 day, 1 hour</t>
        </is>
      </c>
      <c r="C35" s="50" t="inlineStr">
        <is>
          <t>Shourya</t>
        </is>
      </c>
      <c r="D35" s="29" t="inlineStr">
        <is>
          <t>Not started</t>
        </is>
      </c>
    </row>
    <row r="36" ht="30.75" customHeight="1">
      <c r="A36" s="50" t="inlineStr">
        <is>
          <t>Reminders and follow-up</t>
        </is>
      </c>
      <c r="B36" s="50" t="inlineStr">
        <is>
          <t>WhatsApp API provider set up and templates approved by Meta</t>
        </is>
      </c>
      <c r="C36" s="50" t="inlineStr">
        <is>
          <t>Shourya</t>
        </is>
      </c>
      <c r="D36" s="29" t="inlineStr">
        <is>
          <t>Not started</t>
        </is>
      </c>
    </row>
    <row r="37" ht="30.75" customHeight="1">
      <c r="A37" s="50" t="inlineStr">
        <is>
          <t>Reminders and follow-up</t>
        </is>
      </c>
      <c r="B37" s="50" t="inlineStr">
        <is>
          <t>Thank-you email for attendees drafted</t>
        </is>
      </c>
      <c r="C37" s="50" t="inlineStr">
        <is>
          <t>Shourya</t>
        </is>
      </c>
      <c r="D37" s="29" t="inlineStr">
        <is>
          <t>Not started</t>
        </is>
      </c>
    </row>
    <row r="38" ht="30.75" customHeight="1">
      <c r="A38" s="50" t="inlineStr">
        <is>
          <t>Reminders and follow-up</t>
        </is>
      </c>
      <c r="B38" s="50" t="inlineStr">
        <is>
          <t>Recording + booking link email for no-shows drafted</t>
        </is>
      </c>
      <c r="C38" s="50" t="inlineStr">
        <is>
          <t>Shourya</t>
        </is>
      </c>
      <c r="D38" s="29" t="inlineStr">
        <is>
          <t>Not started</t>
        </is>
      </c>
    </row>
    <row r="39" ht="30.75" customHeight="1">
      <c r="A39" s="50" t="inlineStr">
        <is>
          <t>Reminders and follow-up</t>
        </is>
      </c>
      <c r="B39" s="50" t="inlineStr">
        <is>
          <t>Booking link created and tested</t>
        </is>
      </c>
      <c r="C39" s="50" t="inlineStr">
        <is>
          <t>Shourya</t>
        </is>
      </c>
      <c r="D39" s="29" t="inlineStr">
        <is>
          <t>Not started</t>
        </is>
      </c>
    </row>
    <row r="40" ht="30.75" customHeight="1">
      <c r="A40" s="50" t="inlineStr">
        <is>
          <t>Reminders and follow-up</t>
        </is>
      </c>
      <c r="B40" s="50" t="inlineStr">
        <is>
          <t>Sales owner named and hand-off agreed</t>
        </is>
      </c>
      <c r="C40" s="50" t="inlineStr">
        <is>
          <t>CEO</t>
        </is>
      </c>
      <c r="D40" s="29" t="inlineStr">
        <is>
          <t>Not started</t>
        </is>
      </c>
    </row>
    <row r="41">
      <c r="A41" s="50" t="inlineStr">
        <is>
          <t>Delivery</t>
        </is>
      </c>
      <c r="B41" s="50" t="inlineStr">
        <is>
          <t>Zoom Webinars licence bought</t>
        </is>
      </c>
      <c r="C41" s="50" t="inlineStr">
        <is>
          <t>Shourya</t>
        </is>
      </c>
      <c r="D41" s="29" t="inlineStr">
        <is>
          <t>Not started</t>
        </is>
      </c>
    </row>
    <row r="42">
      <c r="A42" s="50" t="inlineStr">
        <is>
          <t>Delivery</t>
        </is>
      </c>
      <c r="B42" s="50" t="inlineStr">
        <is>
          <t>Mock call done: deck, timing, audio, screen share</t>
        </is>
      </c>
      <c r="C42" s="50" t="inlineStr">
        <is>
          <t>CEO + CTO</t>
        </is>
      </c>
      <c r="D42" s="29" t="inlineStr">
        <is>
          <t>Not started</t>
        </is>
      </c>
    </row>
    <row r="43">
      <c r="A43" s="50" t="inlineStr">
        <is>
          <t>Delivery</t>
        </is>
      </c>
      <c r="B43" s="50" t="inlineStr">
        <is>
          <t>Moderator for Q&amp;A and chat assigned</t>
        </is>
      </c>
      <c r="C43" s="50" t="inlineStr">
        <is>
          <t>Shourya</t>
        </is>
      </c>
      <c r="D43" s="29" t="inlineStr">
        <is>
          <t>Not started</t>
        </is>
      </c>
    </row>
    <row r="44">
      <c r="A44" s="50" t="inlineStr">
        <is>
          <t>Delivery</t>
        </is>
      </c>
      <c r="B44" s="50" t="inlineStr">
        <is>
          <t>Recording turned on; storage location decided</t>
        </is>
      </c>
      <c r="C44" s="50" t="inlineStr">
        <is>
          <t>Shourya</t>
        </is>
      </c>
      <c r="D44" s="29" t="inlineStr">
        <is>
          <t>Not started</t>
        </is>
      </c>
    </row>
    <row r="45">
      <c r="A45" s="50" t="inlineStr">
        <is>
          <t>Delivery</t>
        </is>
      </c>
      <c r="B45" s="50" t="inlineStr">
        <is>
          <t>Backup plan if a speaker's connection drops</t>
        </is>
      </c>
      <c r="C45" s="50" t="inlineStr">
        <is>
          <t>Shourya</t>
        </is>
      </c>
      <c r="D45" s="29" t="inlineStr">
        <is>
          <t>Not started</t>
        </is>
      </c>
    </row>
    <row r="46">
      <c r="A46" s="50" t="inlineStr">
        <is>
          <t>Measurement</t>
        </is>
      </c>
      <c r="B46" s="50" t="inlineStr">
        <is>
          <t>Cost per registration and per qualified registration, by platform</t>
        </is>
      </c>
      <c r="C46" s="50" t="inlineStr">
        <is>
          <t>Shourya</t>
        </is>
      </c>
      <c r="D46" s="29" t="inlineStr">
        <is>
          <t>Not started</t>
        </is>
      </c>
    </row>
    <row r="47">
      <c r="A47" s="50" t="inlineStr">
        <is>
          <t>Measurement</t>
        </is>
      </c>
      <c r="B47" s="50" t="inlineStr">
        <is>
          <t>Show-up rate and average watch time recorded</t>
        </is>
      </c>
      <c r="C47" s="50" t="inlineStr">
        <is>
          <t>Shourya</t>
        </is>
      </c>
      <c r="D47" s="29" t="inlineStr">
        <is>
          <t>Not started</t>
        </is>
      </c>
    </row>
    <row r="48">
      <c r="A48" s="50" t="inlineStr">
        <is>
          <t>Measurement</t>
        </is>
      </c>
      <c r="B48" s="50" t="inlineStr">
        <is>
          <t>Meetings booked from the webinar tracked</t>
        </is>
      </c>
      <c r="C48" s="50" t="inlineStr">
        <is>
          <t>Sales</t>
        </is>
      </c>
      <c r="D48" s="29" t="inlineStr">
        <is>
          <t>Not started</t>
        </is>
      </c>
    </row>
    <row r="49">
      <c r="A49" s="50" t="inlineStr">
        <is>
          <t>Measurement</t>
        </is>
      </c>
      <c r="B49" s="50" t="inlineStr">
        <is>
          <t>Post-mortem within 5 days</t>
        </is>
      </c>
      <c r="C49" s="50" t="inlineStr">
        <is>
          <t>Shourya</t>
        </is>
      </c>
      <c r="D49" s="29" t="inlineStr">
        <is>
          <t>Not started</t>
        </is>
      </c>
    </row>
    <row r="50">
      <c r="A50" s="50" t="inlineStr">
        <is>
          <t>Landing page and creative</t>
        </is>
      </c>
      <c r="B50" s="50" t="inlineStr">
        <is>
          <t>VSL script approved (VSL Funnel tab)</t>
        </is>
      </c>
      <c r="C50" s="50" t="inlineStr">
        <is>
          <t>CEO + CTO</t>
        </is>
      </c>
      <c r="D50" s="29" t="inlineStr">
        <is>
          <t>Not started</t>
        </is>
      </c>
    </row>
    <row r="51">
      <c r="A51" s="50" t="inlineStr">
        <is>
          <t>Landing page and creative</t>
        </is>
      </c>
      <c r="B51" s="50" t="inlineStr">
        <is>
          <t>VSL recorded and edited (3–4 min, captions)</t>
        </is>
      </c>
      <c r="C51" s="50" t="inlineStr">
        <is>
          <t>CTO + editor</t>
        </is>
      </c>
      <c r="D51" s="29" t="inlineStr">
        <is>
          <t>Not started</t>
        </is>
      </c>
    </row>
    <row r="52">
      <c r="A52" s="50" t="inlineStr">
        <is>
          <t>Landing page and creative</t>
        </is>
      </c>
      <c r="B52" s="50" t="inlineStr">
        <is>
          <t>9 short videos edited in all sizes (V2–V10)</t>
        </is>
      </c>
      <c r="C52" s="50" t="inlineStr">
        <is>
          <t>Editor</t>
        </is>
      </c>
      <c r="D52" s="29" t="inlineStr">
        <is>
          <t>Not started</t>
        </is>
      </c>
    </row>
    <row r="53">
      <c r="A53" s="50" t="inlineStr">
        <is>
          <t>Landing page and creative</t>
        </is>
      </c>
      <c r="B53" s="50" t="inlineStr">
        <is>
          <t>6 statics + 3 carousels designed (S1–S6, C1–C3)</t>
        </is>
      </c>
      <c r="C53" s="50" t="inlineStr">
        <is>
          <t>Designer</t>
        </is>
      </c>
      <c r="D53" s="29" t="inlineStr">
        <is>
          <t>Not started</t>
        </is>
      </c>
    </row>
    <row r="54">
      <c r="A54" s="50" t="inlineStr">
        <is>
          <t>Landing page and creative</t>
        </is>
      </c>
      <c r="B54" s="50" t="inlineStr">
        <is>
          <t>Benefit assets ready: checklist preview, full toolkit, certificate template</t>
        </is>
      </c>
      <c r="C54" s="50" t="inlineStr">
        <is>
          <t>Shourya + CTO</t>
        </is>
      </c>
      <c r="D54" s="29" t="inlineStr">
        <is>
          <t>Not started</t>
        </is>
      </c>
    </row>
    <row r="55">
      <c r="A55" s="50" t="inlineStr">
        <is>
          <t>Media</t>
        </is>
      </c>
      <c r="B55" s="50" t="inlineStr">
        <is>
          <t>Meta ad sets M1–M4 built with exclusions</t>
        </is>
      </c>
      <c r="C55" s="50" t="inlineStr">
        <is>
          <t>Shourya</t>
        </is>
      </c>
      <c r="D55" s="29" t="inlineStr">
        <is>
          <t>Not started</t>
        </is>
      </c>
    </row>
    <row r="56">
      <c r="A56" s="50" t="inlineStr">
        <is>
          <t>Media</t>
        </is>
      </c>
      <c r="B56" s="50" t="inlineStr">
        <is>
          <t>YouTube Demand Gen campaign built; videos uploaded as unlisted</t>
        </is>
      </c>
      <c r="C56" s="50" t="inlineStr">
        <is>
          <t>Shourya</t>
        </is>
      </c>
      <c r="D56" s="29" t="inlineStr">
        <is>
          <t>Not started</t>
        </is>
      </c>
    </row>
    <row r="57">
      <c r="A57" s="50" t="inlineStr">
        <is>
          <t>Media</t>
        </is>
      </c>
      <c r="B57" s="50" t="inlineStr">
        <is>
          <t>Google Search: 3 ad groups, keywords, negatives, sitelinks</t>
        </is>
      </c>
      <c r="C57" s="50" t="inlineStr">
        <is>
          <t>Shourya</t>
        </is>
      </c>
      <c r="D57" s="29" t="inlineStr">
        <is>
          <t>Not started</t>
        </is>
      </c>
    </row>
    <row r="58">
      <c r="A58" s="50" t="inlineStr">
        <is>
          <t>Media</t>
        </is>
      </c>
      <c r="B58" s="50" t="inlineStr">
        <is>
          <t>Creative release calendar followed (9, 14, 18, 21, 24 Oct)</t>
        </is>
      </c>
      <c r="C58" s="50" t="inlineStr">
        <is>
          <t>Shourya</t>
        </is>
      </c>
      <c r="D58" s="29" t="inlineStr">
        <is>
          <t>Not started</t>
        </is>
      </c>
    </row>
    <row r="59">
      <c r="A59" s="50" t="inlineStr">
        <is>
          <t>Registration and data</t>
        </is>
      </c>
      <c r="B59" s="50" t="inlineStr">
        <is>
          <t>Form updated: any email + company name + question box</t>
        </is>
      </c>
      <c r="C59" s="50" t="inlineStr">
        <is>
          <t>Shourya</t>
        </is>
      </c>
      <c r="D59" s="29" t="inlineStr">
        <is>
          <t>Not started</t>
        </is>
      </c>
    </row>
  </sheetData>
  <autoFilter ref="A3:D49"/>
  <dataValidations count="1">
    <dataValidation sqref="D4:D59" showDropDown="0" showInputMessage="0" showErrorMessage="0" allowBlank="1" type="list">
      <formula1>"Not started,In progress,Done"</formula1>
    </dataValidation>
  </dataValidations>
  <pageMargins left="0.75" right="0.75" top="1" bottom="1" header="0.5" footer="0.5"/>
  <pageSetup orientation="landscape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2026-09-21T05:14:52Z</dcterms:created>
  <dcterms:modified xsi:type="dcterms:W3CDTF">2026-10-04T13:43:59Z</dcterms:modified>
  <cp:lastModifiedBy>Shourya Shikher</cp:lastModifiedBy>
</cp:coreProperties>
</file>