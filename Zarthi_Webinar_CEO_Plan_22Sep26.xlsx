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746" firstSheet="0" activeTab="0" autoFilterDateGrouping="1"/>
  </bookViews>
  <sheets>
    <sheet name="Manager Summary" sheetId="1" state="visible" r:id="rId1"/>
    <sheet name="Overview" sheetId="2" state="visible" r:id="rId2"/>
    <sheet name="Topics" sheetId="3" state="visible" r:id="rId3"/>
    <sheet name="Audience" sheetId="4" state="visible" r:id="rId4"/>
    <sheet name="Funnel" sheetId="5" state="visible" r:id="rId5"/>
    <sheet name="Budget" sheetId="6" state="visible" r:id="rId6"/>
    <sheet name="Offers" sheetId="7" state="visible" r:id="rId7"/>
    <sheet name="Ads Plan" sheetId="8" state="visible" r:id="rId8"/>
    <sheet name="Ad Copy" sheetId="9" state="visible" r:id="rId9"/>
    <sheet name="Video Scripts" sheetId="10" state="visible" r:id="rId10"/>
    <sheet name="Image Ideas" sheetId="11" state="visible" r:id="rId11"/>
    <sheet name="Creatives" sheetId="12" state="visible" r:id="rId12"/>
    <sheet name="VSL Funnel" sheetId="13" state="visible" r:id="rId13"/>
    <sheet name="Email &amp; WhatsApp" sheetId="14" state="visible" r:id="rId14"/>
    <sheet name="Daily Plan" sheetId="15" state="visible" r:id="rId15"/>
    <sheet name="Timeline" sheetId="16" state="visible" r:id="rId16"/>
    <sheet name="Decisions" sheetId="17" state="visible" r:id="rId17"/>
    <sheet name="Checklist" sheetId="18" state="visible" r:id="rId18"/>
  </sheets>
  <definedNames>
    <definedName name="_xlnm.Print_Area" localSheetId="0">'Manager Summary'!$A$1:$E$53</definedName>
    <definedName name="_xlnm._FilterDatabase" localSheetId="17" hidden="1">'Checklist'!$A$3:$D$49</definedName>
  </definedNames>
  <calcPr calcId="124519" fullCalcOnLoad="1"/>
</workbook>
</file>

<file path=xl/styles.xml><?xml version="1.0" encoding="utf-8"?>
<styleSheet xmlns="http://schemas.openxmlformats.org/spreadsheetml/2006/main">
  <numFmts count="4">
    <numFmt numFmtId="164" formatCode="0.0%"/>
    <numFmt numFmtId="165" formatCode="&quot;₹&quot;#,##0"/>
    <numFmt numFmtId="166" formatCode="ddd dd-mmm"/>
    <numFmt numFmtId="167" formatCode="ddd d-mmm-yyyy"/>
  </numFmts>
  <fonts count="26">
    <font>
      <name val="Calibri"/>
      <family val="2"/>
      <color theme="1"/>
      <sz val="11"/>
      <scheme val="minor"/>
    </font>
    <font>
      <name val="Calibri"/>
      <b val="1"/>
      <color rgb="FF262626"/>
      <sz val="14"/>
    </font>
    <font>
      <name val="Calibri"/>
      <b val="1"/>
      <color rgb="FF262626"/>
      <sz val="11"/>
    </font>
    <font>
      <name val="Calibri"/>
      <b val="1"/>
      <color rgb="FFFFFFFF"/>
      <sz val="11"/>
    </font>
    <font>
      <name val="Calibri"/>
      <b val="1"/>
      <sz val="11"/>
    </font>
    <font>
      <name val="Calibri"/>
      <i val="1"/>
      <color rgb="FF6C6969"/>
      <sz val="11"/>
    </font>
    <font>
      <name val="Calibri"/>
      <family val="2"/>
      <b val="1"/>
      <sz val="11"/>
    </font>
    <font>
      <name val="Calibri"/>
      <family val="2"/>
      <sz val="11"/>
      <scheme val="minor"/>
    </font>
    <font>
      <name val="Calibri"/>
      <family val="2"/>
      <color theme="10"/>
      <sz val="11"/>
      <u val="single"/>
      <scheme val="minor"/>
    </font>
    <font>
      <name val="Almaden Sans"/>
      <charset val="1"/>
      <color rgb="FF333333"/>
      <sz val="11"/>
    </font>
    <font>
      <name val="Almaden Sans"/>
      <b val="1"/>
      <color rgb="FF2A2B2D"/>
      <sz val="11"/>
    </font>
    <font>
      <name val="Almaden Sans"/>
      <color rgb="FF2A2B2D"/>
      <sz val="11"/>
    </font>
    <font>
      <name val="Almaden Sans"/>
      <charset val="1"/>
      <color rgb="FF222325"/>
      <sz val="11"/>
    </font>
    <font>
      <name val="Calibri"/>
      <family val="2"/>
      <b val="1"/>
      <color theme="1"/>
      <sz val="11"/>
      <scheme val="minor"/>
    </font>
    <font>
      <name val="Calibri"/>
      <b val="1"/>
      <color rgb="FFFF0000"/>
      <sz val="11"/>
    </font>
    <font>
      <name val="Calibri"/>
      <family val="2"/>
      <color rgb="FFFF0000"/>
      <sz val="11"/>
      <scheme val="minor"/>
    </font>
    <font>
      <name val="Calibri"/>
      <family val="2"/>
      <b val="1"/>
      <color rgb="FFFF0000"/>
      <sz val="11"/>
      <scheme val="minor"/>
    </font>
    <font>
      <name val="Calibri"/>
      <color rgb="FF000000"/>
      <sz val="11"/>
    </font>
    <font>
      <name val="Calibri"/>
      <color rgb="FFFF0000"/>
      <sz val="11"/>
    </font>
    <font>
      <name val="Calibri"/>
      <i val="1"/>
      <color rgb="FF595959"/>
      <sz val="10"/>
    </font>
    <font>
      <name val="Calibri"/>
      <sz val="11"/>
    </font>
    <font>
      <name val="Calibri"/>
      <b val="1"/>
      <color rgb="FF262626"/>
      <sz val="12"/>
    </font>
    <font>
      <name val="Calibri"/>
      <color rgb="FF0563C1"/>
      <sz val="10"/>
      <u val="single"/>
    </font>
    <font>
      <name val="Calibri"/>
      <b val="1"/>
      <color rgb="FF262626"/>
      <sz val="16"/>
    </font>
    <font>
      <name val="Calibri"/>
      <b val="1"/>
      <color rgb="FFFFFFFF"/>
      <sz val="12"/>
    </font>
    <font>
      <name val="Calibri"/>
      <b val="1"/>
      <color rgb="FF1F6B3A"/>
      <sz val="14"/>
    </font>
  </fonts>
  <fills count="10">
    <fill>
      <patternFill/>
    </fill>
    <fill>
      <patternFill patternType="gray125"/>
    </fill>
    <fill>
      <patternFill patternType="solid">
        <fgColor rgb="FF262626"/>
      </patternFill>
    </fill>
    <fill>
      <patternFill patternType="solid">
        <fgColor rgb="FFFFFBEA"/>
      </patternFill>
    </fill>
    <fill>
      <patternFill patternType="solid">
        <fgColor rgb="FFFFF4E0"/>
      </patternFill>
    </fill>
    <fill>
      <patternFill patternType="solid">
        <fgColor theme="0"/>
        <bgColor indexed="64"/>
      </patternFill>
    </fill>
    <fill>
      <patternFill patternType="solid">
        <fgColor rgb="FFFFFF00"/>
        <bgColor indexed="64"/>
      </patternFill>
    </fill>
    <fill>
      <patternFill patternType="solid">
        <fgColor rgb="FFF2F2F2"/>
      </patternFill>
    </fill>
    <fill>
      <patternFill patternType="solid">
        <fgColor rgb="FFD9D9D9"/>
      </patternFill>
    </fill>
    <fill>
      <patternFill patternType="solid">
        <fgColor rgb="FFE2EFDA"/>
      </patternFill>
    </fill>
  </fills>
  <borders count="13">
    <border>
      <left/>
      <right/>
      <top/>
      <bottom/>
      <diagonal/>
    </border>
    <border>
      <left/>
      <right/>
      <top/>
      <bottom style="medium">
        <color rgb="FFFFB42A"/>
      </bottom>
      <diagonal/>
    </border>
    <border>
      <left style="thin">
        <color rgb="FFD0D0D0"/>
      </left>
      <right style="thin">
        <color rgb="FFD0D0D0"/>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diagonal/>
    </border>
    <border>
      <left/>
      <right style="thin">
        <color rgb="FFD0D0D0"/>
      </right>
      <top style="thin">
        <color rgb="FFD0D0D0"/>
      </top>
      <bottom/>
      <diagonal/>
    </border>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8" fillId="0" borderId="0"/>
  </cellStyleXfs>
  <cellXfs count="127">
    <xf numFmtId="0" fontId="0" fillId="0" borderId="0" pivotButton="0" quotePrefix="0" xfId="0"/>
    <xf numFmtId="0" fontId="1" fillId="0" borderId="0" pivotButton="0" quotePrefix="0" xfId="0"/>
    <xf numFmtId="0" fontId="2" fillId="0" borderId="1" pivotButton="0" quotePrefix="0" xfId="0"/>
    <xf numFmtId="0" fontId="3" fillId="2" borderId="2" applyAlignment="1" pivotButton="0" quotePrefix="0" xfId="0">
      <alignment vertical="top" wrapText="1"/>
    </xf>
    <xf numFmtId="0" fontId="4" fillId="0" borderId="2" applyAlignment="1" pivotButton="0" quotePrefix="0" xfId="0">
      <alignment vertical="top" wrapText="1"/>
    </xf>
    <xf numFmtId="0" fontId="0" fillId="0" borderId="2" applyAlignment="1" pivotButton="0" quotePrefix="0" xfId="0">
      <alignment vertical="top" wrapText="1"/>
    </xf>
    <xf numFmtId="0" fontId="4" fillId="0" borderId="0" pivotButton="0" quotePrefix="0" xfId="0"/>
    <xf numFmtId="9" fontId="0" fillId="3" borderId="2" applyAlignment="1" pivotButton="0" quotePrefix="0" xfId="0">
      <alignment horizontal="center" vertical="top" wrapText="1"/>
    </xf>
    <xf numFmtId="9" fontId="0" fillId="0" borderId="0" applyAlignment="1" pivotButton="0" quotePrefix="0" xfId="0">
      <alignment horizontal="center" vertical="top" wrapText="1"/>
    </xf>
    <xf numFmtId="0" fontId="4" fillId="0" borderId="2" applyAlignment="1" pivotButton="0" quotePrefix="0" xfId="0">
      <alignment horizontal="center" vertical="top" wrapText="1"/>
    </xf>
    <xf numFmtId="0" fontId="0" fillId="3" borderId="2" applyAlignment="1" pivotButton="0" quotePrefix="0" xfId="0">
      <alignment horizontal="center" vertical="top" wrapText="1"/>
    </xf>
    <xf numFmtId="2" fontId="0" fillId="0" borderId="2" applyAlignment="1" pivotButton="0" quotePrefix="0" xfId="0">
      <alignment horizontal="center" vertical="top" wrapText="1"/>
    </xf>
    <xf numFmtId="0" fontId="4" fillId="4" borderId="2" applyAlignment="1" pivotButton="0" quotePrefix="0" xfId="0">
      <alignment horizontal="center" vertical="top" wrapText="1"/>
    </xf>
    <xf numFmtId="0" fontId="0" fillId="4" borderId="2" applyAlignment="1" pivotButton="0" quotePrefix="0" xfId="0">
      <alignment vertical="top" wrapText="1"/>
    </xf>
    <xf numFmtId="0" fontId="0" fillId="4" borderId="2" applyAlignment="1" pivotButton="0" quotePrefix="0" xfId="0">
      <alignment horizontal="center" vertical="top" wrapText="1"/>
    </xf>
    <xf numFmtId="2" fontId="4" fillId="4" borderId="2" applyAlignment="1" pivotButton="0" quotePrefix="0" xfId="0">
      <alignment horizontal="center" vertical="top" wrapText="1"/>
    </xf>
    <xf numFmtId="0" fontId="5" fillId="0" borderId="0" pivotButton="0" quotePrefix="0" xfId="0"/>
    <xf numFmtId="0" fontId="3" fillId="2" borderId="2" applyAlignment="1" pivotButton="0" quotePrefix="0" xfId="0">
      <alignment horizontal="center" vertical="top" wrapText="1"/>
    </xf>
    <xf numFmtId="0" fontId="4" fillId="0" borderId="2" pivotButton="0" quotePrefix="0" xfId="0"/>
    <xf numFmtId="1" fontId="0" fillId="3" borderId="2" applyAlignment="1" pivotButton="0" quotePrefix="0" xfId="0">
      <alignment horizontal="center" vertical="top" wrapText="1"/>
    </xf>
    <xf numFmtId="3" fontId="0" fillId="0" borderId="2" applyAlignment="1" pivotButton="0" quotePrefix="0" xfId="0">
      <alignment horizontal="center" vertical="top" wrapText="1"/>
    </xf>
    <xf numFmtId="3" fontId="0" fillId="3" borderId="2" applyAlignment="1" pivotButton="0" quotePrefix="0" xfId="0">
      <alignment horizontal="center" vertical="top" wrapText="1"/>
    </xf>
    <xf numFmtId="164" fontId="0" fillId="3" borderId="2" applyAlignment="1" pivotButton="0" quotePrefix="0" xfId="0">
      <alignment horizontal="center" vertical="top" wrapText="1"/>
    </xf>
    <xf numFmtId="0" fontId="4" fillId="4" borderId="2" applyAlignment="1" pivotButton="0" quotePrefix="0" xfId="0">
      <alignment vertical="top" wrapText="1"/>
    </xf>
    <xf numFmtId="165" fontId="0" fillId="3" borderId="2" pivotButton="0" quotePrefix="0" xfId="0"/>
    <xf numFmtId="165" fontId="0" fillId="0" borderId="2" pivotButton="0" quotePrefix="0" xfId="0"/>
    <xf numFmtId="165" fontId="4" fillId="0" borderId="2" pivotButton="0" quotePrefix="0" xfId="0"/>
    <xf numFmtId="165" fontId="0" fillId="0" borderId="2" applyAlignment="1" pivotButton="0" quotePrefix="0" xfId="0">
      <alignment vertical="top" wrapText="1"/>
    </xf>
    <xf numFmtId="0" fontId="0" fillId="3" borderId="2" applyAlignment="1" pivotButton="0" quotePrefix="0" xfId="0">
      <alignment vertical="top" wrapText="1"/>
    </xf>
    <xf numFmtId="0" fontId="0" fillId="0" borderId="2" applyAlignment="1" pivotButton="0" quotePrefix="0" xfId="0">
      <alignment horizontal="center" vertical="top" wrapText="1"/>
    </xf>
    <xf numFmtId="0" fontId="6" fillId="5" borderId="2" applyAlignment="1" pivotButton="0" quotePrefix="0" xfId="0">
      <alignment vertical="top" wrapText="1"/>
    </xf>
    <xf numFmtId="165" fontId="6" fillId="5" borderId="2" applyAlignment="1" pivotButton="0" quotePrefix="0" xfId="0">
      <alignment vertical="top" wrapText="1"/>
    </xf>
    <xf numFmtId="0" fontId="7" fillId="5" borderId="0" pivotButton="0" quotePrefix="0" xfId="0"/>
    <xf numFmtId="0" fontId="6" fillId="0" borderId="2" applyAlignment="1" pivotButton="0" quotePrefix="0" xfId="0">
      <alignment vertical="top" wrapText="1"/>
    </xf>
    <xf numFmtId="0" fontId="3" fillId="2" borderId="2" applyAlignment="1" pivotButton="0" quotePrefix="0" xfId="0">
      <alignment vertical="top"/>
    </xf>
    <xf numFmtId="0" fontId="4" fillId="0" borderId="2" applyAlignment="1" pivotButton="0" quotePrefix="0" xfId="0">
      <alignment vertical="top"/>
    </xf>
    <xf numFmtId="0" fontId="0" fillId="6"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4" fillId="0" borderId="0" applyAlignment="1" pivotButton="0" quotePrefix="0" xfId="0">
      <alignment wrapText="1"/>
    </xf>
    <xf numFmtId="0" fontId="9" fillId="0" borderId="0" pivotButton="0" quotePrefix="0" xfId="0"/>
    <xf numFmtId="0" fontId="12" fillId="0" borderId="0" pivotButton="0" quotePrefix="0" xfId="0"/>
    <xf numFmtId="0" fontId="8" fillId="0" borderId="0" applyAlignment="1" pivotButton="0" quotePrefix="0" xfId="1">
      <alignment wrapText="1"/>
    </xf>
    <xf numFmtId="0" fontId="13" fillId="0" borderId="0" pivotButton="0" quotePrefix="0" xfId="0"/>
    <xf numFmtId="0" fontId="11" fillId="0" borderId="0" pivotButton="0" quotePrefix="0" xfId="0"/>
    <xf numFmtId="0" fontId="14" fillId="6" borderId="2" applyAlignment="1" pivotButton="0" quotePrefix="0" xfId="0">
      <alignment vertical="top" wrapText="1"/>
    </xf>
    <xf numFmtId="0" fontId="16" fillId="0" borderId="0" pivotButton="0" quotePrefix="0" xfId="0"/>
    <xf numFmtId="0" fontId="14" fillId="6" borderId="2" applyAlignment="1" pivotButton="0" quotePrefix="0" xfId="0">
      <alignment vertical="top" wrapText="1"/>
    </xf>
    <xf numFmtId="0" fontId="15" fillId="6" borderId="3" applyAlignment="1" pivotButton="0" quotePrefix="0" xfId="0">
      <alignment wrapText="1"/>
    </xf>
    <xf numFmtId="0" fontId="15" fillId="6" borderId="4"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wrapText="1"/>
    </xf>
    <xf numFmtId="0" fontId="0" fillId="0" borderId="4" applyAlignment="1" pivotButton="0" quotePrefix="0" xfId="0">
      <alignment wrapText="1"/>
    </xf>
    <xf numFmtId="0" fontId="3" fillId="2" borderId="2" applyAlignment="1" pivotButton="0" quotePrefix="0" xfId="0">
      <alignment vertical="top" wrapText="1"/>
    </xf>
    <xf numFmtId="0" fontId="0" fillId="0" borderId="3" pivotButton="0" quotePrefix="0" xfId="0"/>
    <xf numFmtId="0" fontId="0" fillId="0" borderId="4" pivotButton="0" quotePrefix="0" xfId="0"/>
    <xf numFmtId="0" fontId="0" fillId="9" borderId="2" applyAlignment="1" pivotButton="0" quotePrefix="0" xfId="0">
      <alignment vertical="top" wrapText="1"/>
    </xf>
    <xf numFmtId="0" fontId="4" fillId="9" borderId="2" applyAlignment="1" pivotButton="0" quotePrefix="0" xfId="0">
      <alignment vertical="top"/>
    </xf>
    <xf numFmtId="0" fontId="0" fillId="9" borderId="0" applyAlignment="1" pivotButton="0" quotePrefix="0" xfId="0">
      <alignment wrapText="1"/>
    </xf>
    <xf numFmtId="0" fontId="4" fillId="9" borderId="2" pivotButton="0" quotePrefix="0" xfId="0"/>
    <xf numFmtId="1" fontId="0" fillId="0" borderId="2" applyAlignment="1" pivotButton="0" quotePrefix="0" xfId="0">
      <alignment horizontal="center" vertical="top" wrapText="1"/>
    </xf>
    <xf numFmtId="0" fontId="11" fillId="9" borderId="0" pivotButton="0" quotePrefix="0" xfId="0"/>
    <xf numFmtId="0" fontId="1" fillId="0" borderId="7" pivotButton="0" quotePrefix="0" xfId="0"/>
    <xf numFmtId="0" fontId="3" fillId="2" borderId="8" applyAlignment="1" pivotButton="0" quotePrefix="0" xfId="0">
      <alignment vertical="center" wrapText="1"/>
    </xf>
    <xf numFmtId="0" fontId="0" fillId="0" borderId="11" pivotButton="0" quotePrefix="0" xfId="0"/>
    <xf numFmtId="0" fontId="0" fillId="0" borderId="12" pivotButton="0" quotePrefix="0" xfId="0"/>
    <xf numFmtId="0" fontId="20" fillId="0" borderId="8" applyAlignment="1" pivotButton="0" quotePrefix="0" xfId="0">
      <alignment vertical="top" wrapText="1"/>
    </xf>
    <xf numFmtId="0" fontId="4" fillId="0" borderId="8" applyAlignment="1" pivotButton="0" quotePrefix="0" xfId="0">
      <alignment vertical="top" wrapText="1"/>
    </xf>
    <xf numFmtId="0" fontId="22" fillId="0" borderId="8" applyAlignment="1" pivotButton="0" quotePrefix="0" xfId="0">
      <alignment vertical="top" wrapText="1"/>
    </xf>
    <xf numFmtId="0" fontId="21" fillId="0" borderId="7" pivotButton="0" quotePrefix="0" xfId="0"/>
    <xf numFmtId="0" fontId="4" fillId="9" borderId="8" applyAlignment="1" pivotButton="0" quotePrefix="0" xfId="0">
      <alignment vertical="top" wrapText="1"/>
    </xf>
    <xf numFmtId="0" fontId="20" fillId="3" borderId="8" applyAlignment="1" pivotButton="0" quotePrefix="0" xfId="0">
      <alignment vertical="top" wrapText="1"/>
    </xf>
    <xf numFmtId="2" fontId="4" fillId="0" borderId="8" applyAlignment="1" pivotButton="0" quotePrefix="0" xfId="0">
      <alignment vertical="top" wrapText="1"/>
    </xf>
    <xf numFmtId="0" fontId="20" fillId="0" borderId="7" pivotButton="0" quotePrefix="0" xfId="0"/>
    <xf numFmtId="0" fontId="19" fillId="0" borderId="7" pivotButton="0" quotePrefix="0" xfId="0"/>
    <xf numFmtId="0" fontId="19" fillId="0" borderId="0" pivotButton="0" quotePrefix="0" xfId="0"/>
    <xf numFmtId="1" fontId="20" fillId="3" borderId="8" applyAlignment="1" pivotButton="0" quotePrefix="0" xfId="0">
      <alignment vertical="top" wrapText="1"/>
    </xf>
    <xf numFmtId="9" fontId="20" fillId="3" borderId="8" applyAlignment="1" pivotButton="0" quotePrefix="0" xfId="0">
      <alignment vertical="top" wrapText="1"/>
    </xf>
    <xf numFmtId="3" fontId="20" fillId="0" borderId="8" applyAlignment="1" pivotButton="0" quotePrefix="0" xfId="0">
      <alignment vertical="top" wrapText="1"/>
    </xf>
    <xf numFmtId="164" fontId="20" fillId="3" borderId="8" applyAlignment="1" pivotButton="0" quotePrefix="0" xfId="0">
      <alignment vertical="top" wrapText="1"/>
    </xf>
    <xf numFmtId="9" fontId="4" fillId="3" borderId="8" applyAlignment="1" pivotButton="0" quotePrefix="0" xfId="0">
      <alignment vertical="top" wrapText="1"/>
    </xf>
    <xf numFmtId="165" fontId="20" fillId="0" borderId="8" applyAlignment="1" pivotButton="0" quotePrefix="0" xfId="0">
      <alignment vertical="top" wrapText="1"/>
    </xf>
    <xf numFmtId="3" fontId="20" fillId="3" borderId="8" applyAlignment="1" pivotButton="0" quotePrefix="0" xfId="0">
      <alignment vertical="top" wrapText="1"/>
    </xf>
    <xf numFmtId="165" fontId="20" fillId="3" borderId="8" applyAlignment="1" pivotButton="0" quotePrefix="0" xfId="0">
      <alignment vertical="top" wrapText="1"/>
    </xf>
    <xf numFmtId="0" fontId="4" fillId="7" borderId="8" applyAlignment="1" pivotButton="0" quotePrefix="0" xfId="0">
      <alignment vertical="top" wrapText="1"/>
    </xf>
    <xf numFmtId="3" fontId="4" fillId="7" borderId="8" applyAlignment="1" pivotButton="0" quotePrefix="0" xfId="0">
      <alignment vertical="top" wrapText="1"/>
    </xf>
    <xf numFmtId="165" fontId="4" fillId="7" borderId="8" applyAlignment="1" pivotButton="0" quotePrefix="0" xfId="0">
      <alignment vertical="top" wrapText="1"/>
    </xf>
    <xf numFmtId="0" fontId="20" fillId="7" borderId="8" applyAlignment="1" pivotButton="0" quotePrefix="0" xfId="0">
      <alignment vertical="top" wrapText="1"/>
    </xf>
    <xf numFmtId="165" fontId="4" fillId="0" borderId="8" applyAlignment="1" pivotButton="0" quotePrefix="0" xfId="0">
      <alignment vertical="top" wrapText="1"/>
    </xf>
    <xf numFmtId="166" fontId="20" fillId="3" borderId="8" applyAlignment="1" pivotButton="0" quotePrefix="0" xfId="0">
      <alignment vertical="top" wrapText="1"/>
    </xf>
    <xf numFmtId="1" fontId="20" fillId="0" borderId="8" applyAlignment="1" pivotButton="0" quotePrefix="0" xfId="0">
      <alignment vertical="top" wrapText="1"/>
    </xf>
    <xf numFmtId="166" fontId="4" fillId="7" borderId="8" applyAlignment="1" pivotButton="0" quotePrefix="0" xfId="0">
      <alignment vertical="top" wrapText="1"/>
    </xf>
    <xf numFmtId="1" fontId="4" fillId="7" borderId="8" applyAlignment="1" pivotButton="0" quotePrefix="0" xfId="0">
      <alignment vertical="top" wrapText="1"/>
    </xf>
    <xf numFmtId="9" fontId="4" fillId="7" borderId="8" applyAlignment="1" pivotButton="0" quotePrefix="0" xfId="0">
      <alignment vertical="top" wrapText="1"/>
    </xf>
    <xf numFmtId="166" fontId="20" fillId="0" borderId="8" applyAlignment="1" pivotButton="0" quotePrefix="0" xfId="0">
      <alignment vertical="top" wrapText="1"/>
    </xf>
    <xf numFmtId="0" fontId="4" fillId="8" borderId="8" pivotButton="0" quotePrefix="0" xfId="0"/>
    <xf numFmtId="0" fontId="4" fillId="0" borderId="7" pivotButton="0" quotePrefix="0" xfId="0"/>
    <xf numFmtId="166" fontId="4" fillId="0" borderId="8" applyAlignment="1" pivotButton="0" quotePrefix="0" xfId="0">
      <alignment vertical="top" wrapText="1"/>
    </xf>
    <xf numFmtId="9" fontId="20" fillId="0" borderId="8" applyAlignment="1" pivotButton="0" quotePrefix="0" xfId="0">
      <alignment vertical="top" wrapText="1"/>
    </xf>
    <xf numFmtId="164" fontId="20" fillId="0" borderId="8" applyAlignment="1" pivotButton="0" quotePrefix="0" xfId="0">
      <alignment vertical="top" wrapText="1"/>
    </xf>
    <xf numFmtId="3" fontId="4" fillId="0" borderId="8" applyAlignment="1" pivotButton="0" quotePrefix="0" xfId="0">
      <alignment vertical="top" wrapText="1"/>
    </xf>
    <xf numFmtId="0" fontId="23"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2" borderId="0" applyAlignment="1" pivotButton="0" quotePrefix="0" xfId="0">
      <alignment horizontal="left" vertical="center" wrapText="1"/>
    </xf>
    <xf numFmtId="0" fontId="0" fillId="2" borderId="0" pivotButton="0" quotePrefix="0" xfId="0"/>
    <xf numFmtId="0" fontId="4" fillId="9" borderId="8" applyAlignment="1" pivotButton="0" quotePrefix="0" xfId="0">
      <alignment vertical="center" wrapText="1"/>
    </xf>
    <xf numFmtId="3" fontId="25" fillId="9" borderId="8" applyAlignment="1" pivotButton="0" quotePrefix="0" xfId="0">
      <alignment horizontal="left" vertical="center" wrapText="1"/>
    </xf>
    <xf numFmtId="165" fontId="25" fillId="9" borderId="8" applyAlignment="1" pivotButton="0" quotePrefix="0" xfId="0">
      <alignment horizontal="left" vertical="center" wrapText="1"/>
    </xf>
    <xf numFmtId="0" fontId="4" fillId="0" borderId="8" applyAlignment="1" pivotButton="0" quotePrefix="0" xfId="0">
      <alignment vertical="center" wrapText="1"/>
    </xf>
    <xf numFmtId="0" fontId="20" fillId="0" borderId="8" applyAlignment="1" pivotButton="0" quotePrefix="0" xfId="0">
      <alignment vertical="center" wrapText="1"/>
    </xf>
    <xf numFmtId="0" fontId="2" fillId="8" borderId="8" applyAlignment="1" pivotButton="0" quotePrefix="0" xfId="0">
      <alignment vertical="center" wrapText="1"/>
    </xf>
    <xf numFmtId="3" fontId="20" fillId="0" borderId="8" applyAlignment="1" pivotButton="0" quotePrefix="0" xfId="0">
      <alignment vertical="center" wrapText="1"/>
    </xf>
    <xf numFmtId="165" fontId="20" fillId="0" borderId="8" applyAlignment="1" pivotButton="0" quotePrefix="0" xfId="0">
      <alignment vertical="center" wrapText="1"/>
    </xf>
    <xf numFmtId="0" fontId="4" fillId="7" borderId="8" applyAlignment="1" pivotButton="0" quotePrefix="0" xfId="0">
      <alignment vertical="center" wrapText="1"/>
    </xf>
    <xf numFmtId="3" fontId="4" fillId="7" borderId="8" applyAlignment="1" pivotButton="0" quotePrefix="0" xfId="0">
      <alignment vertical="center" wrapText="1"/>
    </xf>
    <xf numFmtId="165" fontId="4" fillId="7" borderId="8" applyAlignment="1" pivotButton="0" quotePrefix="0" xfId="0">
      <alignment vertical="center" wrapText="1"/>
    </xf>
    <xf numFmtId="0" fontId="20" fillId="7" borderId="8" applyAlignment="1" pivotButton="0" quotePrefix="0" xfId="0">
      <alignment vertical="center" wrapText="1"/>
    </xf>
    <xf numFmtId="167" fontId="20" fillId="0" borderId="8" applyAlignment="1" pivotButton="0" quotePrefix="0" xfId="0">
      <alignment vertical="center" wrapText="1"/>
    </xf>
    <xf numFmtId="167" fontId="4" fillId="7" borderId="8" applyAlignment="1" pivotButton="0" quotePrefix="0" xfId="0">
      <alignment vertical="center" wrapText="1"/>
    </xf>
    <xf numFmtId="0" fontId="4" fillId="0" borderId="8" applyAlignment="1" pivotButton="0" quotePrefix="0" xfId="0">
      <alignment horizontal="left" vertical="center" wrapText="1"/>
    </xf>
    <xf numFmtId="0" fontId="4" fillId="9" borderId="8" applyAlignment="1" pivotButton="0" quotePrefix="0" xfId="0">
      <alignment horizontal="left" vertical="center" wrapText="1"/>
    </xf>
    <xf numFmtId="0" fontId="20" fillId="9" borderId="8" applyAlignment="1" pivotButton="0" quotePrefix="0" xfId="0">
      <alignment vertical="center" wrapText="1"/>
    </xf>
    <xf numFmtId="0" fontId="4" fillId="0" borderId="8" applyAlignment="1" pivotButton="0" quotePrefix="0" xfId="0">
      <alignment horizontal="right" vertical="center"/>
    </xf>
    <xf numFmtId="166" fontId="20" fillId="3" borderId="8" applyAlignment="1" pivotButton="0" quotePrefix="0" xfId="0">
      <alignment vertical="top" wrapText="1"/>
    </xf>
    <xf numFmtId="166" fontId="4" fillId="7" borderId="8" applyAlignment="1" pivotButton="0" quotePrefix="0" xfId="0">
      <alignment vertical="top" wrapText="1"/>
    </xf>
    <xf numFmtId="166" fontId="20" fillId="0" borderId="8" applyAlignment="1" pivotButton="0" quotePrefix="0" xfId="0">
      <alignment vertical="top" wrapText="1"/>
    </xf>
    <xf numFmtId="166" fontId="4" fillId="0" borderId="8"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zoom.us/pricing" TargetMode="External" Id="rId1" /></Relationships>
</file>

<file path=xl/worksheets/_rels/sheet3.xml.rels><Relationships xmlns="http://schemas.openxmlformats.org/package/2006/relationships"><Relationship Type="http://schemas.openxmlformats.org/officeDocument/2006/relationships/hyperlink" Target="https://data.finops.org/" TargetMode="External" Id="rId1" /><Relationship Type="http://schemas.openxmlformats.org/officeDocument/2006/relationships/hyperlink" Target="https://data.finops.org/" TargetMode="External" Id="rId2" /><Relationship Type="http://schemas.openxmlformats.org/officeDocument/2006/relationships/hyperlink" Target="https://www.cncf.io/announcements/2026/01/20/kubernetes-established-as-the-de-facto-operating-system-for-ai-as-production-use-hits-82-in-2025-cncf-annual-cloud-native-survey/" TargetMode="External" Id="rId3" /><Relationship Type="http://schemas.openxmlformats.org/officeDocument/2006/relationships/hyperlink" Target="https://www.catchpoint.com/blog/sre-report-2026-what-surprised-us-what-didnt-and-why-the-gaps-matter-most" TargetMode="External" Id="rId4" /><Relationship Type="http://schemas.openxmlformats.org/officeDocument/2006/relationships/hyperlink" Target="https://www.beri.net/article/ai-sre-agents-35000-incidents-autonomous-operations-on-call-burnout-enterprise-2026" TargetMode="External" Id="rId5" /><Relationship Type="http://schemas.openxmlformats.org/officeDocument/2006/relationships/hyperlink" Target="https://cloud.google.com/blog/products/ai-machine-learning/announcing-the-2025-dora-report" TargetMode="External" Id="rId6" /><Relationship Type="http://schemas.openxmlformats.org/officeDocument/2006/relationships/hyperlink" Target="https://www.infrasity.com/blog/kubecon-india-2026-recap" TargetMode="External" Id="rId7" /><Relationship Type="http://schemas.openxmlformats.org/officeDocument/2006/relationships/hyperlink" Target="https://www.goldcast.io/reports/b2b-webinar-benchmark-report-2026" TargetMode="External" Id="rId8" /></Relationships>
</file>

<file path=xl/worksheets/sheet1.xml><?xml version="1.0" encoding="utf-8"?>
<worksheet xmlns="http://schemas.openxmlformats.org/spreadsheetml/2006/main">
  <sheetPr>
    <outlinePr summaryBelow="1" summaryRight="1"/>
    <pageSetUpPr fitToPage="1"/>
  </sheetPr>
  <dimension ref="A1:E53"/>
  <sheetViews>
    <sheetView showGridLines="0" tabSelected="1" workbookViewId="0">
      <selection activeCell="A1" sqref="A1"/>
    </sheetView>
  </sheetViews>
  <sheetFormatPr baseColWidth="8" defaultRowHeight="15"/>
  <cols>
    <col width="34" customWidth="1" min="1" max="1"/>
    <col width="20" customWidth="1" min="2" max="2"/>
    <col width="20" customWidth="1" min="3" max="3"/>
    <col width="20" customWidth="1" min="4" max="4"/>
    <col width="46" customWidth="1" min="5" max="5"/>
  </cols>
  <sheetData>
    <row r="1">
      <c r="A1" s="101" t="inlineStr">
        <is>
          <t>Zarthi Webinar Pilot: Plan Summary for Manager</t>
        </is>
      </c>
    </row>
    <row r="2">
      <c r="A2" s="102" t="inlineStr">
        <is>
          <t>Numbers update automatically from the other tabs. Prepared by Shourya, 4-Oct-2026.</t>
        </is>
      </c>
    </row>
    <row r="4" ht="20" customHeight="1">
      <c r="A4" s="103" t="inlineStr">
        <is>
          <t>1. Goal and key numbers</t>
        </is>
      </c>
      <c r="B4" s="104" t="n"/>
      <c r="C4" s="104" t="n"/>
      <c r="D4" s="104" t="n"/>
      <c r="E4" s="104" t="n"/>
    </row>
    <row r="5" ht="22" customHeight="1">
      <c r="A5" s="105" t="inlineStr">
        <is>
          <t>Live attendees (target)</t>
        </is>
      </c>
      <c r="B5" s="106">
        <f>Funnel!B4</f>
        <v>200.0</v>
      </c>
      <c r="C5" s="64" t="n"/>
      <c r="D5" s="64" t="n"/>
      <c r="E5" s="65" t="n"/>
    </row>
    <row r="6" ht="22" customHeight="1">
      <c r="A6" s="105" t="inlineStr">
        <is>
          <t>Registrations needed (25% show-up + 10% buffer)</t>
        </is>
      </c>
      <c r="B6" s="106">
        <f>Funnel!B8</f>
        <v>880.0</v>
      </c>
      <c r="C6" s="64" t="n"/>
      <c r="D6" s="64" t="n"/>
      <c r="E6" s="65" t="n"/>
    </row>
    <row r="7" ht="22" customHeight="1">
      <c r="A7" s="105" t="inlineStr">
        <is>
          <t>Ad budget (ex-GST)</t>
        </is>
      </c>
      <c r="B7" s="107">
        <f>Budget!F9</f>
        <v>725000.0</v>
      </c>
      <c r="C7" s="64" t="n"/>
      <c r="D7" s="64" t="n"/>
      <c r="E7" s="65" t="n"/>
    </row>
    <row r="8" ht="22" customHeight="1">
      <c r="A8" s="105" t="inlineStr">
        <is>
          <t>Total budget (GST, Zoom, creatives, lucky draw)</t>
        </is>
      </c>
      <c r="B8" s="107">
        <f>Budget!F21</f>
        <v>942690.0</v>
      </c>
      <c r="C8" s="64" t="n"/>
      <c r="D8" s="64" t="n"/>
      <c r="E8" s="65" t="n"/>
    </row>
    <row r="9" ht="22" customHeight="1">
      <c r="A9" s="105" t="inlineStr">
        <is>
          <t>Cost per live attendee</t>
        </is>
      </c>
      <c r="B9" s="107">
        <f>Budget!F23</f>
        <v>4713.45</v>
      </c>
      <c r="C9" s="64" t="n"/>
      <c r="D9" s="64" t="n"/>
      <c r="E9" s="65" t="n"/>
    </row>
    <row r="11" ht="20" customHeight="1">
      <c r="A11" s="103" t="inlineStr">
        <is>
          <t>2. Webinar</t>
        </is>
      </c>
      <c r="B11" s="104" t="n"/>
      <c r="C11" s="104" t="n"/>
      <c r="D11" s="104" t="n"/>
      <c r="E11" s="104" t="n"/>
    </row>
    <row r="12" ht="30" customHeight="1">
      <c r="A12" s="108" t="inlineStr">
        <is>
          <t>Topic</t>
        </is>
      </c>
      <c r="B12" s="109" t="inlineStr">
        <is>
          <t>AI Is Eating Your Cloud Bill: How SRE &amp; DevOps Teams Cut Kubernetes and AI Costs (Think Like a CTO, Episode 1)</t>
        </is>
      </c>
      <c r="C12" s="64" t="n"/>
      <c r="D12" s="64" t="n"/>
      <c r="E12" s="65" t="n"/>
    </row>
    <row r="13" ht="30" customHeight="1">
      <c r="A13" s="108" t="inlineStr">
        <is>
          <t>Why this topic</t>
        </is>
      </c>
      <c r="B13" s="109" t="inlineStr">
        <is>
          <t>Cloud waste rose to 29% in 2026 and managing AI cost is the #1 priority (State of FinOps 2026). Every SRE/DevOps engineer is blamed for the bill.</t>
        </is>
      </c>
      <c r="C13" s="64" t="n"/>
      <c r="D13" s="64" t="n"/>
      <c r="E13" s="65" t="n"/>
    </row>
    <row r="14" ht="30" customHeight="1">
      <c r="A14" s="108" t="inlineStr">
        <is>
          <t>Date and time</t>
        </is>
      </c>
      <c r="B14" s="109" t="inlineStr">
        <is>
          <t>Tue 27-Oct-2026, 4:00–5:00 PM IST (backup Wed 28-Oct). Zoom Webinars 500.</t>
        </is>
      </c>
      <c r="C14" s="64" t="n"/>
      <c r="D14" s="64" t="n"/>
      <c r="E14" s="65" t="n"/>
    </row>
    <row r="15" ht="30" customHeight="1">
      <c r="A15" s="108" t="inlineStr">
        <is>
          <t>Speakers</t>
        </is>
      </c>
      <c r="B15" s="109" t="inlineStr">
        <is>
          <t>CTO (15 years, ex-Microsoft) + CEO</t>
        </is>
      </c>
      <c r="C15" s="64" t="n"/>
      <c r="D15" s="64" t="n"/>
      <c r="E15" s="65" t="n"/>
    </row>
    <row r="16" ht="30" customHeight="1">
      <c r="A16" s="108" t="inlineStr">
        <is>
          <t>Audience</t>
        </is>
      </c>
      <c r="B16" s="109" t="inlineStr">
        <is>
          <t>SRE, DevOps, cloud and platform engineers and cloud developers; 3–15 years; Indian metros + tier-2 cities</t>
        </is>
      </c>
      <c r="C16" s="64" t="n"/>
      <c r="D16" s="64" t="n"/>
      <c r="E16" s="65" t="n"/>
    </row>
    <row r="17" ht="30" customHeight="1">
      <c r="A17" s="108" t="inlineStr">
        <is>
          <t>How we find them</t>
        </is>
      </c>
      <c r="B17" s="109" t="inlineStr">
        <is>
          <t>Paid ads on LinkedIn, Meta and Google only. Email + WhatsApp only after registration (reminders, follow-up).</t>
        </is>
      </c>
      <c r="C17" s="64" t="n"/>
      <c r="D17" s="64" t="n"/>
      <c r="E17" s="65" t="n"/>
    </row>
    <row r="18" ht="30" customHeight="1"/>
    <row r="19" ht="20" customHeight="1">
      <c r="A19" s="103" t="inlineStr">
        <is>
          <t>3. Budget by platform</t>
        </is>
      </c>
      <c r="B19" s="104" t="n"/>
      <c r="C19" s="104" t="n"/>
      <c r="D19" s="104" t="n"/>
      <c r="E19" s="104" t="n"/>
    </row>
    <row r="20" ht="30" customHeight="1">
      <c r="A20" s="110" t="inlineStr">
        <is>
          <t>Platform</t>
        </is>
      </c>
      <c r="B20" s="110" t="inlineStr">
        <is>
          <t>Registrations</t>
        </is>
      </c>
      <c r="C20" s="110" t="inlineStr">
        <is>
          <t>Ad spend (ex-GST)</t>
        </is>
      </c>
      <c r="D20" s="110" t="inlineStr">
        <is>
          <t>Cost per registration</t>
        </is>
      </c>
      <c r="E20" s="110" t="inlineStr">
        <is>
          <t>Role</t>
        </is>
      </c>
    </row>
    <row r="21" ht="30" customHeight="1">
      <c r="A21" s="108" t="inlineStr">
        <is>
          <t>Meta (FB + Instagram)</t>
        </is>
      </c>
      <c r="B21" s="111">
        <f>Budget!B4+Budget!B5</f>
        <v>640.0</v>
      </c>
      <c r="C21" s="112">
        <f>Budget!F4+Budget!F5</f>
        <v>424000.0</v>
      </c>
      <c r="D21" s="112">
        <f>IFERROR(C21/B21,0)</f>
        <v>662.5</v>
      </c>
      <c r="E21" s="109" t="inlineStr">
        <is>
          <t>Volume: most registrations at ₹700 each</t>
        </is>
      </c>
    </row>
    <row r="22" ht="30" customHeight="1">
      <c r="A22" s="108" t="inlineStr">
        <is>
          <t>LinkedIn</t>
        </is>
      </c>
      <c r="B22" s="111">
        <f>Budget!B6</f>
        <v>60.0</v>
      </c>
      <c r="C22" s="112">
        <f>Budget!F6</f>
        <v>150000.0</v>
      </c>
      <c r="D22" s="112">
        <f>IFERROR(C22/B22,0)</f>
        <v>2500.0</v>
      </c>
      <c r="E22" s="109" t="inlineStr">
        <is>
          <t>Senior reach: exact job titles, ₹2,500 each</t>
        </is>
      </c>
    </row>
    <row r="23" ht="30" customHeight="1">
      <c r="A23" s="108" t="inlineStr">
        <is>
          <t>Google (Search + Demand Gen)</t>
        </is>
      </c>
      <c r="B23" s="111">
        <f>Budget!B7+Budget!B8</f>
        <v>180.0</v>
      </c>
      <c r="C23" s="112">
        <f>Budget!F7+Budget!F8</f>
        <v>151000.0</v>
      </c>
      <c r="D23" s="112">
        <f>IFERROR(C23/B23,0)</f>
        <v>838.8888888888889</v>
      </c>
      <c r="E23" s="109" t="inlineStr">
        <is>
          <t>Intent: people searching cloud cost topics</t>
        </is>
      </c>
    </row>
    <row r="24" ht="30" customHeight="1">
      <c r="A24" s="113" t="inlineStr">
        <is>
          <t>Total ads</t>
        </is>
      </c>
      <c r="B24" s="114">
        <f>SUM(B21:B23)</f>
        <v>880.0</v>
      </c>
      <c r="C24" s="115">
        <f>SUM(C21:C23)</f>
        <v>725000.0</v>
      </c>
      <c r="D24" s="115">
        <f>IFERROR(C24/B24,0)</f>
        <v>823.8636363636364</v>
      </c>
      <c r="E24" s="116" t="inlineStr">
        <is>
          <t>+ GST, Zoom, creatives and lucky draw = total budget above</t>
        </is>
      </c>
    </row>
    <row r="25" ht="30" customHeight="1"/>
    <row r="26" ht="20" customHeight="1">
      <c r="A26" s="103" t="inlineStr">
        <is>
          <t>4. When the ads run</t>
        </is>
      </c>
      <c r="B26" s="104" t="n"/>
      <c r="C26" s="104" t="n"/>
      <c r="D26" s="104" t="n"/>
      <c r="E26" s="104" t="n"/>
    </row>
    <row r="27" ht="30" customHeight="1">
      <c r="A27" s="110" t="inlineStr">
        <is>
          <t>Stage</t>
        </is>
      </c>
      <c r="B27" s="110" t="inlineStr">
        <is>
          <t>Start</t>
        </is>
      </c>
      <c r="C27" s="110" t="inlineStr">
        <is>
          <t>End</t>
        </is>
      </c>
      <c r="D27" s="110" t="inlineStr">
        <is>
          <t>Ad budget</t>
        </is>
      </c>
      <c r="E27" s="110" t="inlineStr">
        <is>
          <t>What happens</t>
        </is>
      </c>
    </row>
    <row r="28" ht="30" customHeight="1">
      <c r="A28" s="108" t="inlineStr">
        <is>
          <t>1. Test</t>
        </is>
      </c>
      <c r="B28" s="117">
        <f>Budget!B27</f>
        <v>46304.0</v>
      </c>
      <c r="C28" s="117">
        <f>Budget!C27</f>
        <v>46308.0</v>
      </c>
      <c r="D28" s="112">
        <f>Budget!F27</f>
        <v>145000.0</v>
      </c>
      <c r="E28" s="109" t="inlineStr">
        <is>
          <t>Find the cheapest ads. CEO review on Tue 13-Oct before more money is released.</t>
        </is>
      </c>
    </row>
    <row r="29" ht="30" customHeight="1">
      <c r="A29" s="108" t="inlineStr">
        <is>
          <t>2. Scale</t>
        </is>
      </c>
      <c r="B29" s="117">
        <f>Budget!B28</f>
        <v>46309.0</v>
      </c>
      <c r="C29" s="117">
        <f>Budget!C28</f>
        <v>46318.0</v>
      </c>
      <c r="D29" s="112">
        <f>Budget!F28</f>
        <v>493000.00000000006</v>
      </c>
      <c r="E29" s="109" t="inlineStr">
        <is>
          <t>Money behind the winning ads only; retargeting on; new creatives every 4–5 days.</t>
        </is>
      </c>
    </row>
    <row r="30" ht="30" customHeight="1">
      <c r="A30" s="108" t="inlineStr">
        <is>
          <t>3. Last call</t>
        </is>
      </c>
      <c r="B30" s="117">
        <f>Budget!B29</f>
        <v>46319.0</v>
      </c>
      <c r="C30" s="117">
        <f>Budget!C29</f>
        <v>46321.0</v>
      </c>
      <c r="D30" s="112">
        <f>Budget!F29</f>
        <v>87000.0</v>
      </c>
      <c r="E30" s="109" t="inlineStr">
        <is>
          <t>Countdown ads. Ads stop the night before the webinar.</t>
        </is>
      </c>
    </row>
    <row r="31" ht="30" customHeight="1">
      <c r="A31" s="113" t="inlineStr">
        <is>
          <t>Total</t>
        </is>
      </c>
      <c r="B31" s="118">
        <f>Budget!B27</f>
        <v>46304.0</v>
      </c>
      <c r="C31" s="118">
        <f>Budget!C29</f>
        <v>46321.0</v>
      </c>
      <c r="D31" s="115">
        <f>SUM(D28:D30)</f>
        <v>725000.0</v>
      </c>
      <c r="E31" s="113" t="str">
        <f>Budget!D30&amp;" days of ads"</f>
        <v>18 days of ads</v>
      </c>
    </row>
    <row r="32" ht="30" customHeight="1"/>
    <row r="33" ht="20" customHeight="1">
      <c r="A33" s="103" t="inlineStr">
        <is>
          <t>5. Offers and creatives</t>
        </is>
      </c>
      <c r="B33" s="104" t="n"/>
      <c r="C33" s="104" t="n"/>
      <c r="D33" s="104" t="n"/>
      <c r="E33" s="104" t="n"/>
    </row>
    <row r="34" ht="30" customHeight="1">
      <c r="A34" s="108" t="inlineStr">
        <is>
          <t>When they register</t>
        </is>
      </c>
      <c r="B34" s="109" t="inlineStr">
        <is>
          <t>Free 27-point Cloud &amp; Kubernetes Cost Leak Checklist (instant) + chance to get their own bill torn down live.</t>
        </is>
      </c>
      <c r="C34" s="64" t="n"/>
      <c r="D34" s="64" t="n"/>
      <c r="E34" s="65" t="n"/>
    </row>
    <row r="35" ht="30" customHeight="1">
      <c r="A35" s="108" t="inlineStr">
        <is>
          <t>Only for live attendees</t>
        </is>
      </c>
      <c r="B35" s="109" t="inlineStr">
        <is>
          <t>Full playbook, CTO-signed certificate, ₹20,000 lucky draw, 20 free Cloud Cost Reviews (sales pipeline).</t>
        </is>
      </c>
      <c r="C35" s="64" t="n"/>
      <c r="D35" s="64" t="n"/>
      <c r="E35" s="65" t="n"/>
    </row>
    <row r="36" ht="30" customHeight="1">
      <c r="A36" s="108" t="inlineStr">
        <is>
          <t>Creatives</t>
        </is>
      </c>
      <c r="B36" s="109" t="str">
        <f>Creatives!B26&amp;". Scripts, ad copy and design briefs are in the file. Shoot: Mon 5 / Tue 6 Oct."</f>
        <v>10 videos, 6 statics, 3 carousels, 1 LinkedIn document, 2 Google ad sets. Scripts, ad copy and design briefs are in the file. Shoot: Mon 5 / Tue 6 Oct.</v>
      </c>
      <c r="C36" s="64" t="n"/>
      <c r="D36" s="64" t="n"/>
      <c r="E36" s="65" t="n"/>
    </row>
    <row r="37" ht="30" customHeight="1"/>
    <row r="38" ht="20" customHeight="1">
      <c r="A38" s="103" t="inlineStr">
        <is>
          <t>6. Realistic outcome</t>
        </is>
      </c>
      <c r="B38" s="104" t="n"/>
      <c r="C38" s="104" t="n"/>
      <c r="D38" s="104" t="n"/>
      <c r="E38" s="104" t="n"/>
    </row>
    <row r="39" ht="30" customHeight="1">
      <c r="A39" s="110" t="inlineStr">
        <is>
          <t>Scenario</t>
        </is>
      </c>
      <c r="B39" s="110" t="inlineStr">
        <is>
          <t>Live attendees</t>
        </is>
      </c>
      <c r="C39" s="110" t="inlineStr"/>
      <c r="D39" s="110" t="inlineStr"/>
      <c r="E39" s="110" t="inlineStr">
        <is>
          <t>What drives it</t>
        </is>
      </c>
    </row>
    <row r="40" ht="30" customHeight="1">
      <c r="A40" s="108" t="inlineStr">
        <is>
          <t>Worst case</t>
        </is>
      </c>
      <c r="B40" s="119" t="inlineStr">
        <is>
          <t>70–100</t>
        </is>
      </c>
      <c r="C40" s="64" t="n"/>
      <c r="D40" s="65" t="n"/>
      <c r="E40" s="109" t="inlineStr">
        <is>
          <t>Cost per registration above ₹1,000 and show-up near 20%</t>
        </is>
      </c>
    </row>
    <row r="41" ht="30" customHeight="1">
      <c r="A41" s="105" t="inlineStr">
        <is>
          <t>Most likely</t>
        </is>
      </c>
      <c r="B41" s="120" t="inlineStr">
        <is>
          <t>120–160</t>
        </is>
      </c>
      <c r="C41" s="64" t="n"/>
      <c r="D41" s="65" t="n"/>
      <c r="E41" s="121" t="inlineStr">
        <is>
          <t>Cost near ₹700–850 per registration, show-up 22–28%</t>
        </is>
      </c>
    </row>
    <row r="42" ht="30" customHeight="1">
      <c r="A42" s="108" t="inlineStr">
        <is>
          <t>Best case</t>
        </is>
      </c>
      <c r="B42" s="119" t="inlineStr">
        <is>
          <t>200+</t>
        </is>
      </c>
      <c r="C42" s="64" t="n"/>
      <c r="D42" s="65" t="n"/>
      <c r="E42" s="109" t="inlineStr">
        <is>
          <t>Winning video found in test week, cost ≤ ₹700, show-up 30%+</t>
        </is>
      </c>
    </row>
    <row r="43" ht="30" customHeight="1">
      <c r="A43" s="108" t="inlineStr">
        <is>
          <t>Biggest lever</t>
        </is>
      </c>
      <c r="B43" s="109" t="inlineStr">
        <is>
          <t>Show-up rate. Moving from 25% to 30% cuts registrations needed from 880 to ~733 and saves about ₹1.4 lakh.</t>
        </is>
      </c>
      <c r="C43" s="64" t="n"/>
      <c r="D43" s="64" t="n"/>
      <c r="E43" s="65" t="n"/>
    </row>
    <row r="44" ht="30" customHeight="1"/>
    <row r="45" ht="20" customHeight="1">
      <c r="A45" s="103" t="inlineStr">
        <is>
          <t>7. Decisions needed</t>
        </is>
      </c>
      <c r="B45" s="104" t="n"/>
      <c r="C45" s="104" t="n"/>
      <c r="D45" s="104" t="n"/>
      <c r="E45" s="104" t="n"/>
    </row>
    <row r="46" ht="30" customHeight="1">
      <c r="A46" s="122" t="inlineStr">
        <is>
          <t>1.</t>
        </is>
      </c>
      <c r="B46" s="109" t="inlineStr">
        <is>
          <t>Approve the topic and the date (Tue 27-Oct, 4 PM)</t>
        </is>
      </c>
      <c r="C46" s="64" t="n"/>
      <c r="D46" s="64" t="n"/>
      <c r="E46" s="65" t="n"/>
    </row>
    <row r="47" ht="30" customHeight="1">
      <c r="A47" s="122" t="inlineStr">
        <is>
          <t>2.</t>
        </is>
      </c>
      <c r="B47" s="109" t="str">
        <f>"Approve the total budget of ₹"&amp;TEXT(Budget!F21,"#,##0")&amp;", released in 3 stages"</f>
        <v>Approve the total budget of ₹942,690, released in 3 stages</v>
      </c>
      <c r="C47" s="64" t="n"/>
      <c r="D47" s="64" t="n"/>
      <c r="E47" s="65" t="n"/>
    </row>
    <row r="48" ht="30" customHeight="1">
      <c r="A48" s="122" t="inlineStr">
        <is>
          <t>3.</t>
        </is>
      </c>
      <c r="B48" s="109" t="inlineStr">
        <is>
          <t>Approve Zoom Webinars 500 (₹11,610/month), needed for 200+ live</t>
        </is>
      </c>
      <c r="C48" s="64" t="n"/>
      <c r="D48" s="64" t="n"/>
      <c r="E48" s="65" t="n"/>
    </row>
    <row r="49" ht="30" customHeight="1">
      <c r="A49" s="122" t="inlineStr">
        <is>
          <t>4.</t>
        </is>
      </c>
      <c r="B49" s="109" t="inlineStr">
        <is>
          <t>Approve the offers and the ₹20,000 lucky draw</t>
        </is>
      </c>
      <c r="C49" s="64" t="n"/>
      <c r="D49" s="64" t="n"/>
      <c r="E49" s="65" t="n"/>
    </row>
    <row r="50" ht="30" customHeight="1">
      <c r="A50" s="122" t="inlineStr">
        <is>
          <t>5.</t>
        </is>
      </c>
      <c r="B50" s="109" t="str">
        <f>"Approve creative production (₹"&amp;TEXT(Creatives!F41,"#,##0")&amp;") and a 2-hour CEO + CTO shoot on 5–6 Oct"</f>
        <v>Approve creative production (₹44,000) and a 2-hour CEO + CTO shoot on 5–6 Oct</v>
      </c>
      <c r="C50" s="64" t="n"/>
      <c r="D50" s="64" t="n"/>
      <c r="E50" s="65" t="n"/>
    </row>
    <row r="51" ht="30" customHeight="1">
      <c r="A51" s="122" t="inlineStr">
        <is>
          <t>6.</t>
        </is>
      </c>
      <c r="B51" s="109" t="inlineStr">
        <is>
          <t>Agree the commitment: target 200 live, commit 120–150, review on 13-Oct</t>
        </is>
      </c>
      <c r="C51" s="64" t="n"/>
      <c r="D51" s="64" t="n"/>
      <c r="E51" s="65" t="n"/>
    </row>
    <row r="53">
      <c r="A53" s="102" t="inlineStr">
        <is>
          <t>Details: Budget, Ads Plan, Ad Copy, Video Scripts, Image Ideas, Offers, Daily Plan, Timeline and Decisions tabs.</t>
        </is>
      </c>
    </row>
  </sheetData>
  <mergeCells count="24">
    <mergeCell ref="B42:D42"/>
    <mergeCell ref="B9:E9"/>
    <mergeCell ref="B49:E49"/>
    <mergeCell ref="B6:E6"/>
    <mergeCell ref="B15:E15"/>
    <mergeCell ref="B5:E5"/>
    <mergeCell ref="B51:E51"/>
    <mergeCell ref="B36:E36"/>
    <mergeCell ref="B35:E35"/>
    <mergeCell ref="B50:E50"/>
    <mergeCell ref="B16:E16"/>
    <mergeCell ref="B40:D40"/>
    <mergeCell ref="B7:E7"/>
    <mergeCell ref="B47:E47"/>
    <mergeCell ref="B46:E46"/>
    <mergeCell ref="B43:E43"/>
    <mergeCell ref="B12:E12"/>
    <mergeCell ref="B41:D41"/>
    <mergeCell ref="B48:E48"/>
    <mergeCell ref="B14:E14"/>
    <mergeCell ref="B17:E17"/>
    <mergeCell ref="B8:E8"/>
    <mergeCell ref="B13:E13"/>
    <mergeCell ref="B34:E34"/>
  </mergeCells>
  <pageMargins left="0.75" right="0.75" top="1" bottom="1" header="0.5" footer="0.5"/>
  <pageSetup orientation="portrait" paperSize="9" fitToHeight="1" fitToWidth="1"/>
</worksheet>
</file>

<file path=xl/worksheets/sheet2.xml><?xml version="1.0" encoding="utf-8"?>
<worksheet xmlns="http://schemas.openxmlformats.org/spreadsheetml/2006/main">
  <sheetPr>
    <outlinePr summaryBelow="1" summaryRight="1"/>
    <pageSetUpPr/>
  </sheetPr>
  <dimension ref="A1:H30"/>
  <sheetViews>
    <sheetView tabSelected="0" topLeftCell="A3" workbookViewId="0">
      <selection activeCell="B6" sqref="B6"/>
    </sheetView>
  </sheetViews>
  <sheetFormatPr baseColWidth="8" defaultRowHeight="15"/>
  <cols>
    <col width="42.28515625" customWidth="1" min="1" max="1"/>
    <col width="95" customWidth="1" style="37" min="2" max="2"/>
    <col width="59.85546875" customWidth="1" style="37" min="3" max="3"/>
  </cols>
  <sheetData>
    <row r="1">
      <c r="A1" s="47" t="inlineStr">
        <is>
          <t>Topic</t>
        </is>
      </c>
    </row>
    <row r="2">
      <c r="A2" s="47" t="inlineStr">
        <is>
          <t>Title</t>
        </is>
      </c>
      <c r="B2" s="47" t="inlineStr">
        <is>
          <t>Promise statement</t>
        </is>
      </c>
      <c r="C2" s="54" t="n"/>
      <c r="D2" s="54" t="n"/>
      <c r="E2" s="54" t="n"/>
      <c r="F2" s="54" t="n"/>
      <c r="G2" s="54" t="n"/>
      <c r="H2" s="55" t="n"/>
    </row>
    <row r="3" ht="23.25" customHeight="1">
      <c r="A3" s="56" t="inlineStr">
        <is>
          <t>AI Is Eating Your Cloud Bill: How SRE &amp; DevOps Teams Cut Kubernetes and AI Costs</t>
        </is>
      </c>
      <c r="B3" s="56" t="inlineStr">
        <is>
          <t>In 45 minutes, see the 5 places cloud money leaks in Kubernetes and AI workloads, and the fixes your team can ship this sprint, with a live teardown of real (anonymised) cloud bills.</t>
        </is>
      </c>
      <c r="C3" s="54" t="n"/>
      <c r="D3" s="54" t="n"/>
      <c r="E3" s="54" t="n"/>
      <c r="F3" s="54" t="n"/>
      <c r="G3" s="54" t="n"/>
      <c r="H3" s="55" t="n"/>
    </row>
    <row r="4">
      <c r="A4" s="34" t="n"/>
      <c r="B4" s="53" t="inlineStr">
        <is>
          <t>Include</t>
        </is>
      </c>
      <c r="C4" s="53" t="inlineStr">
        <is>
          <t>Exclude</t>
        </is>
      </c>
    </row>
    <row r="5">
      <c r="A5" s="35" t="inlineStr">
        <is>
          <t>Experience</t>
        </is>
      </c>
      <c r="B5" s="56" t="inlineStr">
        <is>
          <t>3–15 years of total experience (pilot: wider net)</t>
        </is>
      </c>
      <c r="C5" s="56" t="inlineStr">
        <is>
          <t>Freshers and students; job seekers</t>
        </is>
      </c>
    </row>
    <row r="6" ht="30.75" customHeight="1">
      <c r="A6" s="35" t="inlineStr">
        <is>
          <t>Seniority</t>
        </is>
      </c>
      <c r="B6" s="56" t="inlineStr">
        <is>
          <t>SRE, DevOps, cloud, platform and backend engineers working on cloud, plus their leads and managers</t>
        </is>
      </c>
      <c r="C6" s="56" t="inlineStr">
        <is>
          <t>C-suite (reached separately through direct outreach)</t>
        </is>
      </c>
    </row>
    <row r="7" ht="30.75" customHeight="1">
      <c r="A7" s="35" t="inlineStr">
        <is>
          <t>Company type</t>
        </is>
      </c>
      <c r="B7" s="50" t="inlineStr">
        <is>
          <t>Product and SaaS companies, GCCs, digital-first businesses (fintech, e-commerce, edtech, healthtech), in-house tech teams of enterprises (BFSI, healthcare, retail, manufacturing)</t>
        </is>
      </c>
      <c r="C7" s="50" t="inlineStr">
        <is>
          <t>AWS partners and cloud MSPs (competitors). IT-services / outsourcing firms: CEO decision</t>
        </is>
      </c>
    </row>
    <row r="8">
      <c r="A8" s="35" t="inlineStr">
        <is>
          <t>Company size</t>
        </is>
      </c>
      <c r="B8" s="50" t="inlineStr">
        <is>
          <t>50+ employees (existing MQL gate)</t>
        </is>
      </c>
      <c r="C8" s="50" t="inlineStr">
        <is>
          <t>Under 50 employees</t>
        </is>
      </c>
    </row>
    <row r="9">
      <c r="A9" s="35" t="inlineStr">
        <is>
          <t>Geography</t>
        </is>
      </c>
      <c r="B9" s="50" t="inlineStr">
        <is>
          <t>India: Bengaluru, Hyderabad, Pune, Delhi-NCR, Chennai, Mumbai</t>
        </is>
      </c>
      <c r="C9" s="50" t="inlineStr">
        <is>
          <t>Outside India for this first episode</t>
        </is>
      </c>
    </row>
    <row r="10">
      <c r="A10" s="35" t="inlineStr">
        <is>
          <t>Email</t>
        </is>
      </c>
      <c r="B10" s="50" t="inlineStr">
        <is>
          <t>Business email only</t>
        </is>
      </c>
      <c r="C10" s="50" t="inlineStr">
        <is>
          <t>Gmail, Yahoo, Outlook and other personal domains</t>
        </is>
      </c>
    </row>
    <row r="12">
      <c r="A12" s="34" t="inlineStr">
        <is>
          <t>Platform</t>
        </is>
      </c>
      <c r="B12" s="53" t="inlineStr">
        <is>
          <t>How</t>
        </is>
      </c>
    </row>
    <row r="13">
      <c r="A13" s="35" t="inlineStr">
        <is>
          <t>LinkedIn</t>
        </is>
      </c>
      <c r="B13" s="56" t="inlineStr">
        <is>
          <t>Job titles + 3–15 years + company size 51+. Lead Gen Form + CTO Thought Leader Ads. 60 registrations.</t>
        </is>
      </c>
    </row>
    <row r="14" ht="30.75" customHeight="1">
      <c r="A14" s="35" t="inlineStr">
        <is>
          <t>Meta</t>
        </is>
      </c>
      <c r="B14" s="56" t="inlineStr">
        <is>
          <t>Age 24–45. Cloud/DevOps interests, developer interests, Advantage+ broad.</t>
        </is>
      </c>
    </row>
    <row r="15">
      <c r="A15" s="35" t="inlineStr">
        <is>
          <t>Own channels</t>
        </is>
      </c>
      <c r="B15" s="56" t="inlineStr">
        <is>
          <t>Not used for acquisition. Email + WhatsApp only after registration.</t>
        </is>
      </c>
    </row>
    <row r="16">
      <c r="A16" s="57" t="inlineStr">
        <is>
          <t>Google</t>
        </is>
      </c>
      <c r="B16" s="58" t="inlineStr">
        <is>
          <t>Search (cost keywords) + Demand Gen (Discover, Gmail, YouTube feed).</t>
        </is>
      </c>
    </row>
    <row r="17">
      <c r="A17" s="17" t="inlineStr">
        <is>
          <t>Funnel stage</t>
        </is>
      </c>
      <c r="B17" s="17" t="inlineStr">
        <is>
          <t>Conservative</t>
        </is>
      </c>
    </row>
    <row r="18">
      <c r="A18" s="59" t="inlineStr">
        <is>
          <t>Live attendees (target)</t>
        </is>
      </c>
      <c r="B18" s="60">
        <f>Funnel!B4</f>
        <v>200.0</v>
      </c>
    </row>
    <row r="19">
      <c r="A19" s="46" t="inlineStr">
        <is>
          <t>TNC Landing Page Best Practices: Video Clips, Speaker USPs, Tracking, and Retargeting</t>
        </is>
      </c>
    </row>
    <row r="21">
      <c r="A21" s="43" t="inlineStr">
        <is>
          <t>Form Question in lead form : Need to discuss this----comapny mail id, name number</t>
        </is>
      </c>
    </row>
    <row r="22">
      <c r="A22" s="17" t="inlineStr">
        <is>
          <t>date and time</t>
        </is>
      </c>
    </row>
    <row r="23">
      <c r="A23" t="inlineStr">
        <is>
          <t>for eg : 29 oct Sat 11:00 AM</t>
        </is>
      </c>
    </row>
    <row r="25">
      <c r="A25" s="17" t="inlineStr">
        <is>
          <t>Platform</t>
        </is>
      </c>
      <c r="B25" s="42" t="inlineStr">
        <is>
          <t>https://zoom.us/pricing</t>
        </is>
      </c>
    </row>
    <row r="26">
      <c r="A26" t="inlineStr">
        <is>
          <t>Price</t>
        </is>
      </c>
      <c r="B26" s="58" t="inlineStr">
        <is>
          <t>Zoom Workplace Pro: INR 1,580 per user per month (host). For 200 live: Zoom Webinars 500, ₹11,610/month (Budget tab).</t>
        </is>
      </c>
    </row>
    <row r="27">
      <c r="A27" s="40" t="inlineStr">
        <is>
          <t>Duration / Participants</t>
        </is>
      </c>
      <c r="B27" s="61" t="inlineStr">
        <is>
          <t>Pro meetings hold 100; Webinars 500 holds 500 attendees</t>
        </is>
      </c>
    </row>
    <row r="28">
      <c r="A28" t="inlineStr">
        <is>
          <t>Recording</t>
        </is>
      </c>
      <c r="B28" s="41" t="inlineStr">
        <is>
          <t>Local &amp; 10 GB cloud (per license)</t>
        </is>
      </c>
    </row>
    <row r="29">
      <c r="A29" s="41" t="inlineStr">
        <is>
          <t>Mail</t>
        </is>
      </c>
      <c r="B29" s="37" t="inlineStr">
        <is>
          <t>Zoom Mail and Calendar in the Zoom app</t>
        </is>
      </c>
    </row>
    <row r="30" ht="30.75" customHeight="1">
      <c r="A30" s="41" t="inlineStr">
        <is>
          <t>Clips</t>
        </is>
      </c>
      <c r="B30" s="37" t="inlineStr">
        <is>
          <t>Effortlessly create, edit, and share short videos. Stored clips are easily discoverable, boosting engagement / Unlimited</t>
        </is>
      </c>
    </row>
  </sheetData>
  <mergeCells count="2">
    <mergeCell ref="B3:H3"/>
    <mergeCell ref="B2:H2"/>
  </mergeCells>
  <hyperlinks>
    <hyperlink xmlns:r="http://schemas.openxmlformats.org/officeDocument/2006/relationships" ref="B25" r:id="rId1"/>
  </hyperlinks>
  <pageMargins left="0.7" right="0.7" top="0.75" bottom="0.75" header="0.3" footer="0.3"/>
</worksheet>
</file>

<file path=xl/worksheets/sheet3.xml><?xml version="1.0" encoding="utf-8"?>
<worksheet xmlns="http://schemas.openxmlformats.org/spreadsheetml/2006/main">
  <sheetPr>
    <tabColor rgb="FFFFB42A"/>
    <outlinePr summaryBelow="1" summaryRight="1"/>
    <pageSetUpPr fitToPage="1"/>
  </sheetPr>
  <dimension ref="A1:L38"/>
  <sheetViews>
    <sheetView showGridLines="0" tabSelected="0" workbookViewId="0">
      <selection activeCell="H4" sqref="H4"/>
    </sheetView>
  </sheetViews>
  <sheetFormatPr baseColWidth="8" defaultRowHeight="14.45"/>
  <cols>
    <col width="10.85546875" customWidth="1" min="1" max="1"/>
    <col width="52" customWidth="1" min="2" max="2"/>
    <col width="12" customWidth="1" min="3" max="7"/>
    <col width="10" customWidth="1" min="8" max="8"/>
    <col width="42" customWidth="1" min="9" max="9"/>
    <col width="28" customWidth="1" min="10" max="10"/>
    <col width="22" customWidth="1" min="11" max="11"/>
    <col width="36" customWidth="1" min="12" max="12"/>
  </cols>
  <sheetData>
    <row r="1" ht="18.6" customHeight="1">
      <c r="A1" s="1" t="inlineStr">
        <is>
          <t>Topic options (1 = weak, 5 = strong)</t>
        </is>
      </c>
    </row>
    <row r="2">
      <c r="A2" s="6" t="inlineStr">
        <is>
          <t>Weights</t>
        </is>
      </c>
      <c r="C2" s="7" t="n">
        <v>0.3</v>
      </c>
      <c r="D2" s="7" t="n">
        <v>0.2</v>
      </c>
      <c r="E2" s="7" t="n">
        <v>0.25</v>
      </c>
      <c r="F2" s="7" t="n">
        <v>0.15</v>
      </c>
      <c r="G2" s="7" t="n">
        <v>0.1</v>
      </c>
      <c r="H2" s="8">
        <f>SUM(C2:G2)</f>
        <v>1.0</v>
      </c>
    </row>
    <row r="3" ht="29.1" customHeight="1">
      <c r="A3" s="53" t="inlineStr">
        <is>
          <t>#</t>
        </is>
      </c>
      <c r="B3" s="53" t="inlineStr">
        <is>
          <t>Topic</t>
        </is>
      </c>
      <c r="C3" s="53" t="inlineStr">
        <is>
          <t>Audience pull</t>
        </is>
      </c>
      <c r="D3" s="53" t="inlineStr">
        <is>
          <t>Fits current deck</t>
        </is>
      </c>
      <c r="E3" s="53" t="inlineStr">
        <is>
          <t>Sales intel</t>
        </is>
      </c>
      <c r="F3" s="53" t="inlineStr">
        <is>
          <t>Not crowded</t>
        </is>
      </c>
      <c r="G3" s="53" t="inlineStr">
        <is>
          <t>Easy to prepare</t>
        </is>
      </c>
      <c r="H3" s="53" t="inlineStr">
        <is>
          <t>Score</t>
        </is>
      </c>
      <c r="I3" s="53" t="inlineStr">
        <is>
          <t>Promise to the attendee</t>
        </is>
      </c>
      <c r="J3" s="53" t="inlineStr">
        <is>
          <t>Who it pulls</t>
        </is>
      </c>
      <c r="K3" s="53" t="inlineStr">
        <is>
          <t>Speakers</t>
        </is>
      </c>
      <c r="L3" s="53" t="inlineStr">
        <is>
          <t>Main risk</t>
        </is>
      </c>
    </row>
    <row r="4" ht="29.1" customHeight="1">
      <c r="A4" s="9" t="inlineStr">
        <is>
          <t>1</t>
        </is>
      </c>
      <c r="B4" s="50" t="inlineStr">
        <is>
          <t>Think Like a CTO: The Top-Down Lens for Tech Decisions</t>
        </is>
      </c>
      <c r="C4" s="10" t="n">
        <v>4</v>
      </c>
      <c r="D4" s="10" t="n">
        <v>5</v>
      </c>
      <c r="E4" s="10" t="n">
        <v>2</v>
      </c>
      <c r="F4" s="10" t="n">
        <v>4</v>
      </c>
      <c r="G4" s="10" t="n">
        <v>5</v>
      </c>
      <c r="H4" s="11">
        <f>ROUND(SUMPRODUCT(C4:G4,$C$2:$G$2),2)</f>
        <v>3.8</v>
      </c>
      <c r="I4" s="50" t="inlineStr">
        <is>
          <t>Learn to see a business problem from 10,000 feet before you pick a tool.</t>
        </is>
      </c>
      <c r="J4" s="50" t="inlineStr">
        <is>
          <t>Managers who want to grow into leadership</t>
        </is>
      </c>
      <c r="K4" s="50" t="inlineStr">
        <is>
          <t>CEO + CTO</t>
        </is>
      </c>
      <c r="L4" s="50" t="inlineStr">
        <is>
          <t>Feels like a leadership talk; pulls career-advice seekers, not buyers</t>
        </is>
      </c>
    </row>
    <row r="5" ht="29.1" customHeight="1">
      <c r="A5" s="12" t="inlineStr">
        <is>
          <t>2</t>
        </is>
      </c>
      <c r="B5" s="13" t="inlineStr">
        <is>
          <t>Build, Buy or Partner: How a CTO Decides What Not to Run In-House</t>
        </is>
      </c>
      <c r="C5" s="14" t="n">
        <v>4</v>
      </c>
      <c r="D5" s="14" t="n">
        <v>4</v>
      </c>
      <c r="E5" s="14" t="n">
        <v>5</v>
      </c>
      <c r="F5" s="14" t="n">
        <v>5</v>
      </c>
      <c r="G5" s="14" t="n">
        <v>4</v>
      </c>
      <c r="H5" s="15">
        <f>ROUND(SUMPRODUCT(C5:G5,$C$2:$G$2),2)</f>
        <v>4.4</v>
      </c>
      <c r="I5" s="50" t="inlineStr">
        <is>
          <t>Get the 5 questions a CTO asks before building, buying or outsourcing anything.</t>
        </is>
      </c>
      <c r="J5" s="50" t="inlineStr">
        <is>
          <t>Managers who own vendors, cloud and team capacity</t>
        </is>
      </c>
      <c r="K5" s="50" t="inlineStr">
        <is>
          <t>CTO + CEO, optional customer guest</t>
        </is>
      </c>
      <c r="L5" s="50" t="inlineStr">
        <is>
          <t>Needs real examples, or it sounds like an MSP pitch</t>
        </is>
      </c>
    </row>
    <row r="6" ht="30.75" customHeight="1">
      <c r="A6" s="9" t="inlineStr">
        <is>
          <t>3</t>
        </is>
      </c>
      <c r="B6" s="50" t="inlineStr">
        <is>
          <t>Your Cloud Bill, Read Like a CTO: A Live Bill Teardown</t>
        </is>
      </c>
      <c r="C6" s="10" t="n">
        <v>4</v>
      </c>
      <c r="D6" s="10" t="n">
        <v>3</v>
      </c>
      <c r="E6" s="10" t="n">
        <v>5</v>
      </c>
      <c r="F6" s="10" t="n">
        <v>4</v>
      </c>
      <c r="G6" s="10" t="n">
        <v>3</v>
      </c>
      <c r="H6" s="11">
        <f>ROUND(SUMPRODUCT(C6:G6,$C$2:$G$2),2)</f>
        <v>3.95</v>
      </c>
      <c r="I6" s="50" t="inlineStr">
        <is>
          <t>See a real cloud bill taken apart live, and where the money leaks.</t>
        </is>
      </c>
      <c r="J6" s="50" t="inlineStr">
        <is>
          <t>DevOps, architects, anyone blamed for the bill</t>
        </is>
      </c>
      <c r="K6" s="50" t="inlineStr">
        <is>
          <t>CTO + cloud cost engineer</t>
        </is>
      </c>
      <c r="L6" s="50" t="inlineStr">
        <is>
          <t>Needs a real, anonymised bill with permission</t>
        </is>
      </c>
    </row>
    <row r="7" ht="29.1" customHeight="1">
      <c r="A7" s="9" t="inlineStr">
        <is>
          <t>4</t>
        </is>
      </c>
      <c r="B7" s="50" t="inlineStr">
        <is>
          <t>Why AI Pilots Never Ship: The CTO's Path from POC to Production</t>
        </is>
      </c>
      <c r="C7" s="10" t="n">
        <v>5</v>
      </c>
      <c r="D7" s="10" t="n">
        <v>3</v>
      </c>
      <c r="E7" s="10" t="n">
        <v>3</v>
      </c>
      <c r="F7" s="10" t="n">
        <v>1</v>
      </c>
      <c r="G7" s="10" t="n">
        <v>3</v>
      </c>
      <c r="H7" s="11">
        <f>ROUND(SUMPRODUCT(C7:G7,$C$2:$G$2),2)</f>
        <v>3.3</v>
      </c>
      <c r="I7" s="50" t="inlineStr">
        <is>
          <t>Why most AI pilots stall, and the CTO checklist to get one into production.</t>
        </is>
      </c>
      <c r="J7" s="50" t="inlineStr">
        <is>
          <t>Everyone; biggest pull of the five</t>
        </is>
      </c>
      <c r="K7" s="50" t="inlineStr">
        <is>
          <t>CTO + AI engineer</t>
        </is>
      </c>
      <c r="L7" s="50" t="inlineStr">
        <is>
          <t>Most crowded topic; attracts learners and job seekers</t>
        </is>
      </c>
    </row>
    <row r="8" ht="29.1" customHeight="1">
      <c r="A8" s="9" t="inlineStr">
        <is>
          <t>5</t>
        </is>
      </c>
      <c r="B8" s="50" t="inlineStr">
        <is>
          <t>Who Touches Your Data? Vendor Risk and DPDP for Tech Leaders</t>
        </is>
      </c>
      <c r="C8" s="10" t="n">
        <v>3</v>
      </c>
      <c r="D8" s="10" t="n">
        <v>2</v>
      </c>
      <c r="E8" s="10" t="n">
        <v>4</v>
      </c>
      <c r="F8" s="10" t="n">
        <v>5</v>
      </c>
      <c r="G8" s="10" t="n">
        <v>2</v>
      </c>
      <c r="H8" s="11">
        <f>ROUND(SUMPRODUCT(C8:G8,$C$2:$G$2),2)</f>
        <v>3.25</v>
      </c>
      <c r="I8" s="50" t="inlineStr">
        <is>
          <t>Map who handles your data, and what the DPDP Act makes you liable for.</t>
        </is>
      </c>
      <c r="J8" s="50" t="inlineStr">
        <is>
          <t>Heads of IT, security and compliance</t>
        </is>
      </c>
      <c r="K8" s="50" t="inlineStr">
        <is>
          <t>CTO + privacy lawyer</t>
        </is>
      </c>
      <c r="L8" s="50" t="inlineStr">
        <is>
          <t>Needs a lawyer on stage; Zarthi cannot give legal advice</t>
        </is>
      </c>
    </row>
    <row r="10">
      <c r="A10" s="2" t="inlineStr">
        <is>
          <t>Title and promise options for Topic 2 (pick one of each)</t>
        </is>
      </c>
    </row>
    <row r="11">
      <c r="A11" s="53" t="n"/>
      <c r="B11" s="53" t="inlineStr">
        <is>
          <t>Title</t>
        </is>
      </c>
      <c r="C11" s="53" t="inlineStr">
        <is>
          <t>Promise statement</t>
        </is>
      </c>
      <c r="D11" s="54" t="n"/>
      <c r="E11" s="54" t="n"/>
      <c r="F11" s="54" t="n"/>
      <c r="G11" s="54" t="n"/>
      <c r="H11" s="54" t="n"/>
      <c r="I11" s="55" t="n"/>
    </row>
    <row r="12">
      <c r="A12" s="9" t="inlineStr">
        <is>
          <t>A *</t>
        </is>
      </c>
      <c r="B12" s="50" t="inlineStr">
        <is>
          <t>Think Like a CTO: Build, Buy or Partner?</t>
        </is>
      </c>
      <c r="C12" s="50" t="inlineStr">
        <is>
          <t>In 45 minutes, learn the 5 questions a CTO asks before building, buying or outsourcing any piece of tech.</t>
        </is>
      </c>
      <c r="D12" s="54" t="n"/>
      <c r="E12" s="54" t="n"/>
      <c r="F12" s="54" t="n"/>
      <c r="G12" s="54" t="n"/>
      <c r="H12" s="54" t="n"/>
      <c r="I12" s="55" t="n"/>
    </row>
    <row r="13">
      <c r="A13" s="9" t="inlineStr">
        <is>
          <t>B</t>
        </is>
      </c>
      <c r="B13" s="50" t="inlineStr">
        <is>
          <t>Own It or Hand It Off? The CTO's Decision Framework</t>
        </is>
      </c>
      <c r="C13" s="50" t="inlineStr">
        <is>
          <t>Walk away with a checklist for what your team should own, and what it should hand to a partner.</t>
        </is>
      </c>
      <c r="D13" s="54" t="n"/>
      <c r="E13" s="54" t="n"/>
      <c r="F13" s="54" t="n"/>
      <c r="G13" s="54" t="n"/>
      <c r="H13" s="54" t="n"/>
      <c r="I13" s="55" t="n"/>
    </row>
    <row r="14">
      <c r="A14" s="9" t="inlineStr">
        <is>
          <t>C</t>
        </is>
      </c>
      <c r="B14" s="50" t="inlineStr">
        <is>
          <t>The Decisions That Make a CTO: Build vs. Buy vs. Partner</t>
        </is>
      </c>
      <c r="C14" s="50" t="inlineStr">
        <is>
          <t>Watch a CTO with 15 years of experience (ex-Microsoft) turn a real business problem into a build-or-partner call, step by step.</t>
        </is>
      </c>
      <c r="D14" s="54" t="n"/>
      <c r="E14" s="54" t="n"/>
      <c r="F14" s="54" t="n"/>
      <c r="G14" s="54" t="n"/>
      <c r="H14" s="54" t="n"/>
      <c r="I14" s="55" t="n"/>
    </row>
    <row r="16">
      <c r="A16" s="62" t="inlineStr">
        <is>
          <t>Topic research (4-Oct): what SRE, DevOps and cloud engineers care about in 2026</t>
        </is>
      </c>
    </row>
    <row r="17">
      <c r="A17" s="63" t="inlineStr">
        <is>
          <t>#</t>
        </is>
      </c>
      <c r="B17" s="63" t="inlineStr">
        <is>
          <t>Trend</t>
        </is>
      </c>
      <c r="C17" s="63" t="inlineStr">
        <is>
          <t>Evidence</t>
        </is>
      </c>
      <c r="D17" s="64" t="n"/>
      <c r="E17" s="64" t="n"/>
      <c r="F17" s="64" t="n"/>
      <c r="G17" s="64" t="n"/>
      <c r="H17" s="65" t="n"/>
      <c r="I17" s="63" t="inlineStr">
        <is>
          <t>Source</t>
        </is>
      </c>
      <c r="J17" s="63" t="inlineStr">
        <is>
          <t>What it means for us</t>
        </is>
      </c>
      <c r="K17" s="65" t="n"/>
      <c r="L17" s="63" t="inlineStr">
        <is>
          <t>Link</t>
        </is>
      </c>
    </row>
    <row r="18" ht="62" customHeight="1">
      <c r="A18" s="66" t="inlineStr">
        <is>
          <t>1</t>
        </is>
      </c>
      <c r="B18" s="67" t="inlineStr">
        <is>
          <t>Cloud waste is rising again</t>
        </is>
      </c>
      <c r="C18" s="66" t="inlineStr">
        <is>
          <t>Waste rose to 29% of cloud spend, the first increase in 5 years. Idle and oversized compute make up about 60% of waste.</t>
        </is>
      </c>
      <c r="D18" s="64" t="n"/>
      <c r="E18" s="64" t="n"/>
      <c r="F18" s="64" t="n"/>
      <c r="G18" s="64" t="n"/>
      <c r="H18" s="65" t="n"/>
      <c r="I18" s="66" t="inlineStr">
        <is>
          <t>State of FinOps 2026 (FinOps Foundation)</t>
        </is>
      </c>
      <c r="J18" s="66" t="inlineStr">
        <is>
          <t>Cost is a pain every SRE/DevOps engineer is blamed for. Strong, non-salesy hook that fits Zarthi.</t>
        </is>
      </c>
      <c r="K18" s="65" t="n"/>
      <c r="L18" s="68" t="inlineStr">
        <is>
          <t>https://data.finops.org/</t>
        </is>
      </c>
    </row>
    <row r="19" ht="62" customHeight="1">
      <c r="A19" s="66" t="inlineStr">
        <is>
          <t>2</t>
        </is>
      </c>
      <c r="B19" s="67" t="inlineStr">
        <is>
          <t>AI spend is the new cost problem</t>
        </is>
      </c>
      <c r="C19" s="66" t="inlineStr">
        <is>
          <t>98% of FinOps teams now manage AI spend (31% two years ago). FinOps for AI is the #1 priority and #1 skill gap.</t>
        </is>
      </c>
      <c r="D19" s="64" t="n"/>
      <c r="E19" s="64" t="n"/>
      <c r="F19" s="64" t="n"/>
      <c r="G19" s="64" t="n"/>
      <c r="H19" s="65" t="n"/>
      <c r="I19" s="66" t="inlineStr">
        <is>
          <t>State of FinOps 2026</t>
        </is>
      </c>
      <c r="J19" s="66" t="inlineStr">
        <is>
          <t>'AI + cost' combines the hottest topic with the most urgent problem.</t>
        </is>
      </c>
      <c r="K19" s="65" t="n"/>
      <c r="L19" s="68" t="inlineStr">
        <is>
          <t>https://data.finops.org/</t>
        </is>
      </c>
    </row>
    <row r="20" ht="62" customHeight="1">
      <c r="A20" s="66" t="inlineStr">
        <is>
          <t>3</t>
        </is>
      </c>
      <c r="B20" s="67" t="inlineStr">
        <is>
          <t>Kubernetes runs AI</t>
        </is>
      </c>
      <c r="C20" s="66" t="inlineStr">
        <is>
          <t>82% of container users run Kubernetes in production; Kubernetes is now the de facto platform for AI workloads.</t>
        </is>
      </c>
      <c r="D20" s="64" t="n"/>
      <c r="E20" s="64" t="n"/>
      <c r="F20" s="64" t="n"/>
      <c r="G20" s="64" t="n"/>
      <c r="H20" s="65" t="n"/>
      <c r="I20" s="66" t="inlineStr">
        <is>
          <t>CNCF Annual Cloud Native Survey 2025 (Jan 2026)</t>
        </is>
      </c>
      <c r="J20" s="66" t="inlineStr">
        <is>
          <t>Our audience (SRE, DevOps, platform engineers) works on Kubernetes every day.</t>
        </is>
      </c>
      <c r="K20" s="65" t="n"/>
      <c r="L20" s="68" t="inlineStr">
        <is>
          <t>https://www.cncf.io/announcements/2026/01/20/kubernetes-established-as-the-de-facto-operating-system-for-ai-as-production-use-hits-82-in-2025-cncf-annual-cloud-native-survey/</t>
        </is>
      </c>
    </row>
    <row r="21" ht="62" customHeight="1">
      <c r="A21" s="66" t="inlineStr">
        <is>
          <t>4</t>
        </is>
      </c>
      <c r="B21" s="67" t="inlineStr">
        <is>
          <t>SRE toil and AI</t>
        </is>
      </c>
      <c r="C21" s="66" t="inlineStr">
        <is>
          <t>Median SRE toil rose to 34% of working time (20% a year earlier). 49% say AI reduced toil; optimism about AI rose to 60%; only 13% feel confident monitoring AI reliability.</t>
        </is>
      </c>
      <c r="D21" s="64" t="n"/>
      <c r="E21" s="64" t="n"/>
      <c r="F21" s="64" t="n"/>
      <c r="G21" s="64" t="n"/>
      <c r="H21" s="65" t="n"/>
      <c r="I21" s="66" t="inlineStr">
        <is>
          <t>Catchpoint SRE Report 2026</t>
        </is>
      </c>
      <c r="J21" s="66" t="inlineStr">
        <is>
          <t>'AI agents for SRE' is the most-searched alternative topic. Good for episode 2.</t>
        </is>
      </c>
      <c r="K21" s="65" t="n"/>
      <c r="L21" s="68" t="inlineStr">
        <is>
          <t>https://www.catchpoint.com/blog/sre-report-2026-what-surprised-us-what-didnt-and-why-the-gaps-matter-most</t>
        </is>
      </c>
    </row>
    <row r="22" ht="62" customHeight="1">
      <c r="A22" s="66" t="inlineStr">
        <is>
          <t>5</t>
        </is>
      </c>
      <c r="B22" s="67" t="inlineStr">
        <is>
          <t>AI agents in production ops</t>
        </is>
      </c>
      <c r="C22" s="66" t="inlineStr">
        <is>
          <t>Microsoft's Azure SRE Agent has mitigated 35,000+ production incidents; most teams still run AI agents in supervised mode.</t>
        </is>
      </c>
      <c r="D22" s="64" t="n"/>
      <c r="E22" s="64" t="n"/>
      <c r="F22" s="64" t="n"/>
      <c r="G22" s="64" t="n"/>
      <c r="H22" s="65" t="n"/>
      <c r="I22" s="66" t="inlineStr">
        <is>
          <t>Industry coverage, 2026</t>
        </is>
      </c>
      <c r="J22" s="66" t="inlineStr">
        <is>
          <t>High curiosity, but crowded with vendor webinars.</t>
        </is>
      </c>
      <c r="K22" s="65" t="n"/>
      <c r="L22" s="68" t="inlineStr">
        <is>
          <t>https://www.beri.net/article/ai-sre-agents-35000-incidents-autonomous-operations-on-call-burnout-enterprise-2026</t>
        </is>
      </c>
    </row>
    <row r="23" ht="62" customHeight="1">
      <c r="A23" s="66" t="inlineStr">
        <is>
          <t>6</t>
        </is>
      </c>
      <c r="B23" s="67" t="inlineStr">
        <is>
          <t>Platform engineering is mainstream</t>
        </is>
      </c>
      <c r="C23" s="66" t="inlineStr">
        <is>
          <t>90% of organisations use an internal developer platform; 90% of people use AI at work but 30% barely trust AI-written code.</t>
        </is>
      </c>
      <c r="D23" s="64" t="n"/>
      <c r="E23" s="64" t="n"/>
      <c r="F23" s="64" t="n"/>
      <c r="G23" s="64" t="n"/>
      <c r="H23" s="65" t="n"/>
      <c r="I23" s="66" t="inlineStr">
        <is>
          <t>DORA State of AI-assisted Software Development 2025</t>
        </is>
      </c>
      <c r="J23" s="66" t="inlineStr">
        <is>
          <t>Good secondary angle: guardrails and golden paths reduce both cost and risk.</t>
        </is>
      </c>
      <c r="K23" s="65" t="n"/>
      <c r="L23" s="68" t="inlineStr">
        <is>
          <t>https://cloud.google.com/blog/products/ai-machine-learning/announcing-the-2025-dora-report</t>
        </is>
      </c>
    </row>
    <row r="24" ht="62" customHeight="1">
      <c r="A24" s="66" t="inlineStr">
        <is>
          <t>7</t>
        </is>
      </c>
      <c r="B24" s="67" t="inlineStr">
        <is>
          <t>India community interest</t>
        </is>
      </c>
      <c r="C24" s="66" t="inlineStr">
        <is>
          <t>KubeCon India 2026 and Indian DevOps meetups centred on AI + Kubernetes, observability and AI-powered pipelines.</t>
        </is>
      </c>
      <c r="D24" s="64" t="n"/>
      <c r="E24" s="64" t="n"/>
      <c r="F24" s="64" t="n"/>
      <c r="G24" s="64" t="n"/>
      <c r="H24" s="65" t="n"/>
      <c r="I24" s="66" t="inlineStr">
        <is>
          <t>KubeCon India 2026 recap</t>
        </is>
      </c>
      <c r="J24" s="66" t="inlineStr">
        <is>
          <t>Confirms the topic resonates with Indian engineers, not just US surveys.</t>
        </is>
      </c>
      <c r="K24" s="65" t="n"/>
      <c r="L24" s="68" t="inlineStr">
        <is>
          <t>https://www.infrasity.com/blog/kubecon-india-2026-recap</t>
        </is>
      </c>
    </row>
    <row r="25" ht="62" customHeight="1">
      <c r="A25" s="66" t="inlineStr">
        <is>
          <t>8</t>
        </is>
      </c>
      <c r="B25" s="67" t="inlineStr">
        <is>
          <t>Webinar show-up benchmark</t>
        </is>
      </c>
      <c r="C25" s="66" t="inlineStr">
        <is>
          <t>Median live attendance is 41.6% of registrants across ~12,400 B2B webinars; bottom quarter is 28.4%. Goldcast 2026 average: 40%.</t>
        </is>
      </c>
      <c r="D25" s="64" t="n"/>
      <c r="E25" s="64" t="n"/>
      <c r="F25" s="64" t="n"/>
      <c r="G25" s="64" t="n"/>
      <c r="H25" s="65" t="n"/>
      <c r="I25" s="66" t="inlineStr">
        <is>
          <t>B2B webinar benchmarks 2026</t>
        </is>
      </c>
      <c r="J25" s="66" t="inlineStr">
        <is>
          <t>Cold paid traffic is below median, so we plan 25% and push it up with email + WhatsApp.</t>
        </is>
      </c>
      <c r="K25" s="65" t="n"/>
      <c r="L25" s="68" t="inlineStr">
        <is>
          <t>https://www.goldcast.io/reports/b2b-webinar-benchmark-report-2026</t>
        </is>
      </c>
    </row>
    <row r="27">
      <c r="A27" s="69" t="inlineStr">
        <is>
          <t>New topic options for a mass engineering audience (scored with the same weights as row 2)</t>
        </is>
      </c>
    </row>
    <row r="28">
      <c r="A28" s="63" t="inlineStr">
        <is>
          <t>#</t>
        </is>
      </c>
      <c r="B28" s="63" t="inlineStr">
        <is>
          <t>Topic</t>
        </is>
      </c>
      <c r="C28" s="63" t="inlineStr">
        <is>
          <t>Audience pull</t>
        </is>
      </c>
      <c r="D28" s="63" t="inlineStr">
        <is>
          <t>Fits current deck</t>
        </is>
      </c>
      <c r="E28" s="63" t="inlineStr">
        <is>
          <t>Sales intel</t>
        </is>
      </c>
      <c r="F28" s="63" t="inlineStr">
        <is>
          <t>Not crowded</t>
        </is>
      </c>
      <c r="G28" s="63" t="inlineStr">
        <is>
          <t>Easy to prepare</t>
        </is>
      </c>
      <c r="H28" s="63" t="inlineStr">
        <is>
          <t>Score</t>
        </is>
      </c>
      <c r="I28" s="63" t="inlineStr">
        <is>
          <t>Promise to the attendee</t>
        </is>
      </c>
      <c r="J28" s="63" t="inlineStr">
        <is>
          <t>Who it pulls</t>
        </is>
      </c>
      <c r="K28" s="63" t="inlineStr">
        <is>
          <t>Speakers</t>
        </is>
      </c>
      <c r="L28" s="63" t="inlineStr">
        <is>
          <t>Main risk</t>
        </is>
      </c>
    </row>
    <row r="29">
      <c r="A29" s="66" t="inlineStr">
        <is>
          <t>6</t>
        </is>
      </c>
      <c r="B29" s="70" t="inlineStr">
        <is>
          <t>AI Is Eating Your Cloud Bill: How SRE &amp; DevOps Teams Cut Kubernetes and AI Costs</t>
        </is>
      </c>
      <c r="C29" s="71" t="n">
        <v>5</v>
      </c>
      <c r="D29" s="71" t="n">
        <v>4</v>
      </c>
      <c r="E29" s="71" t="n">
        <v>5</v>
      </c>
      <c r="F29" s="71" t="n">
        <v>3</v>
      </c>
      <c r="G29" s="71" t="n">
        <v>3</v>
      </c>
      <c r="H29" s="72">
        <f>ROUND(SUMPRODUCT(C29:G29,$C$2:$G$2),2)</f>
        <v>4.3</v>
      </c>
      <c r="I29" s="66" t="inlineStr">
        <is>
          <t>See the 5 places cloud money leaks in Kubernetes and AI workloads, and the fixes to ship this sprint.</t>
        </is>
      </c>
      <c r="J29" s="66" t="inlineStr">
        <is>
          <t>SRE, DevOps, platform and cloud engineers; their leads</t>
        </is>
      </c>
      <c r="K29" s="66" t="inlineStr">
        <is>
          <t>CTO + CEO</t>
        </is>
      </c>
      <c r="L29" s="66" t="inlineStr">
        <is>
          <t>Needs real (anonymised) bills and numbers</t>
        </is>
      </c>
    </row>
    <row r="30">
      <c r="A30" s="66" t="inlineStr">
        <is>
          <t>7</t>
        </is>
      </c>
      <c r="B30" s="66" t="inlineStr">
        <is>
          <t>AI Agents for SRE: What They Can Really Do in Production (and What They Can't)</t>
        </is>
      </c>
      <c r="C30" s="71" t="n">
        <v>5</v>
      </c>
      <c r="D30" s="71" t="n">
        <v>3</v>
      </c>
      <c r="E30" s="71" t="n">
        <v>3</v>
      </c>
      <c r="F30" s="71" t="n">
        <v>2</v>
      </c>
      <c r="G30" s="71" t="n">
        <v>3</v>
      </c>
      <c r="H30" s="72">
        <f>ROUND(SUMPRODUCT(C30:G30,$C$2:$G$2),2)</f>
        <v>3.45</v>
      </c>
      <c r="I30" s="66" t="inlineStr">
        <is>
          <t>Where AI agents cut incident time today, where they fail, and how to adopt them safely.</t>
        </is>
      </c>
      <c r="J30" s="66" t="inlineStr">
        <is>
          <t>SREs, on-call engineers, DevOps</t>
        </is>
      </c>
      <c r="K30" s="66" t="inlineStr">
        <is>
          <t>CTO + CEO</t>
        </is>
      </c>
      <c r="L30" s="66" t="inlineStr">
        <is>
          <t>Very crowded with vendor webinars; weaker Zarthi sales fit</t>
        </is>
      </c>
    </row>
    <row r="31">
      <c r="A31" s="66" t="inlineStr">
        <is>
          <t>8</t>
        </is>
      </c>
      <c r="B31" s="66" t="inlineStr">
        <is>
          <t>Platform Engineering Without a 20-Person Team: Build Golden Paths in 90 Days</t>
        </is>
      </c>
      <c r="C31" s="71" t="n">
        <v>4</v>
      </c>
      <c r="D31" s="71" t="n">
        <v>4</v>
      </c>
      <c r="E31" s="71" t="n">
        <v>4</v>
      </c>
      <c r="F31" s="71" t="n">
        <v>3</v>
      </c>
      <c r="G31" s="71" t="n">
        <v>3</v>
      </c>
      <c r="H31" s="72">
        <f>ROUND(SUMPRODUCT(C31:G31,$C$2:$G$2),2)</f>
        <v>3.75</v>
      </c>
      <c r="I31" s="66" t="inlineStr">
        <is>
          <t>A practical roadmap for an internal developer platform with a small team.</t>
        </is>
      </c>
      <c r="J31" s="66" t="inlineStr">
        <is>
          <t>Platform and DevOps engineers, engineering managers</t>
        </is>
      </c>
      <c r="K31" s="66" t="inlineStr">
        <is>
          <t>CTO + CEO</t>
        </is>
      </c>
      <c r="L31" s="66" t="inlineStr">
        <is>
          <t>Needs a strong worked example</t>
        </is>
      </c>
    </row>
    <row r="32">
      <c r="A32" s="66" t="inlineStr">
        <is>
          <t>9</t>
        </is>
      </c>
      <c r="B32" s="66" t="inlineStr">
        <is>
          <t>Running AI on Kubernetes: GPUs, Cost and Reliability</t>
        </is>
      </c>
      <c r="C32" s="71" t="n">
        <v>5</v>
      </c>
      <c r="D32" s="71" t="n">
        <v>3</v>
      </c>
      <c r="E32" s="71" t="n">
        <v>4</v>
      </c>
      <c r="F32" s="71" t="n">
        <v>3</v>
      </c>
      <c r="G32" s="71" t="n">
        <v>2</v>
      </c>
      <c r="H32" s="72">
        <f>ROUND(SUMPRODUCT(C32:G32,$C$2:$G$2),2)</f>
        <v>3.75</v>
      </c>
      <c r="I32" s="66" t="inlineStr">
        <is>
          <t>How teams schedule GPUs, control inference cost and keep AI services reliable.</t>
        </is>
      </c>
      <c r="J32" s="66" t="inlineStr">
        <is>
          <t>ML platform engineers, SRE, DevOps</t>
        </is>
      </c>
      <c r="K32" s="66" t="inlineStr">
        <is>
          <t>CTO + ML platform engineer</t>
        </is>
      </c>
      <c r="L32" s="66" t="inlineStr">
        <is>
          <t>Hard to prepare well in 3 weeks</t>
        </is>
      </c>
    </row>
    <row r="34">
      <c r="A34" s="69" t="inlineStr">
        <is>
          <t>Recommendation</t>
        </is>
      </c>
    </row>
    <row r="35">
      <c r="A35" s="73" t="inlineStr">
        <is>
          <t>Run topic 6 as 'Think Like a CTO · Episode 1'. Title: AI Is Eating Your Cloud Bill: How SRE &amp; DevOps Teams Cut Kubernetes and AI Costs</t>
        </is>
      </c>
    </row>
    <row r="36">
      <c r="A36" s="73" t="inlineStr">
        <is>
          <t>Promise: In 45 minutes, see the 5 places cloud money leaks in Kubernetes and AI workloads, and the fixes your team can ship this sprint, with a live teardown of real (anonymised) cloud bills.</t>
        </is>
      </c>
    </row>
    <row r="37">
      <c r="A37" s="73" t="inlineStr">
        <is>
          <t>Why: highest score for a mass engineering audience; AI + cost is the #1 FinOps priority; every SRE/DevOps engineer is blamed for the bill; leads who care about cost are Zarthi buyers. Topic 7 (AI agents for SRE) becomes episode 2.</t>
        </is>
      </c>
    </row>
    <row r="38">
      <c r="A38" s="74" t="inlineStr">
        <is>
          <t>Topic 2 (Build, Buy or Partner) still scores best for managers; keep it for a later senior-only episode.</t>
        </is>
      </c>
    </row>
  </sheetData>
  <mergeCells count="22">
    <mergeCell ref="C25:H25"/>
    <mergeCell ref="C22:H22"/>
    <mergeCell ref="J19:K19"/>
    <mergeCell ref="C21:H21"/>
    <mergeCell ref="C13:I13"/>
    <mergeCell ref="J24:K24"/>
    <mergeCell ref="C23:H23"/>
    <mergeCell ref="C17:H17"/>
    <mergeCell ref="C14:I14"/>
    <mergeCell ref="C19:H19"/>
    <mergeCell ref="J20:K20"/>
    <mergeCell ref="J25:K25"/>
    <mergeCell ref="C18:H18"/>
    <mergeCell ref="J22:K22"/>
    <mergeCell ref="J21:K21"/>
    <mergeCell ref="C24:H24"/>
    <mergeCell ref="C12:I12"/>
    <mergeCell ref="J18:K18"/>
    <mergeCell ref="J23:K23"/>
    <mergeCell ref="C11:I11"/>
    <mergeCell ref="J17:K17"/>
    <mergeCell ref="C20:H20"/>
  </mergeCells>
  <hyperlinks>
    <hyperlink xmlns:r="http://schemas.openxmlformats.org/officeDocument/2006/relationships" ref="L18" r:id="rId1"/>
    <hyperlink xmlns:r="http://schemas.openxmlformats.org/officeDocument/2006/relationships" ref="L19" r:id="rId2"/>
    <hyperlink xmlns:r="http://schemas.openxmlformats.org/officeDocument/2006/relationships" ref="L20" r:id="rId3"/>
    <hyperlink xmlns:r="http://schemas.openxmlformats.org/officeDocument/2006/relationships" ref="L21" r:id="rId4"/>
    <hyperlink xmlns:r="http://schemas.openxmlformats.org/officeDocument/2006/relationships" ref="L22" r:id="rId5"/>
    <hyperlink xmlns:r="http://schemas.openxmlformats.org/officeDocument/2006/relationships" ref="L23" r:id="rId6"/>
    <hyperlink xmlns:r="http://schemas.openxmlformats.org/officeDocument/2006/relationships" ref="L24" r:id="rId7"/>
    <hyperlink xmlns:r="http://schemas.openxmlformats.org/officeDocument/2006/relationships" ref="L25" r:id="rId8"/>
  </hyperlinks>
  <pageMargins left="0.75" right="0.75" top="1" bottom="1" header="0.5" footer="0.5"/>
  <pageSetup orientation="landscape" fitToHeight="0"/>
</worksheet>
</file>

<file path=xl/worksheets/sheet4.xml><?xml version="1.0" encoding="utf-8"?>
<worksheet xmlns="http://schemas.openxmlformats.org/spreadsheetml/2006/main">
  <sheetPr>
    <tabColor rgb="FF262626"/>
    <outlinePr summaryBelow="1" summaryRight="1"/>
    <pageSetUpPr fitToPage="1"/>
  </sheetPr>
  <dimension ref="A1:C26"/>
  <sheetViews>
    <sheetView showGridLines="0" tabSelected="0" workbookViewId="0">
      <selection activeCell="A3" sqref="A3:C8"/>
    </sheetView>
  </sheetViews>
  <sheetFormatPr baseColWidth="8" defaultRowHeight="14.45"/>
  <cols>
    <col width="35.7109375" customWidth="1" min="1" max="1"/>
    <col width="55" customWidth="1" min="2" max="2"/>
    <col width="50" customWidth="1" min="3" max="3"/>
    <col width="13.7109375" customWidth="1" min="4" max="4"/>
  </cols>
  <sheetData>
    <row r="1">
      <c r="A1" s="2" t="inlineStr">
        <is>
          <t>Audience definition</t>
        </is>
      </c>
    </row>
    <row r="2" ht="15" customHeight="1">
      <c r="A2" s="53" t="n"/>
      <c r="B2" s="53" t="inlineStr">
        <is>
          <t>Include</t>
        </is>
      </c>
      <c r="C2" s="53" t="inlineStr">
        <is>
          <t>Exclude</t>
        </is>
      </c>
    </row>
    <row r="3">
      <c r="A3" s="4" t="inlineStr">
        <is>
          <t>Experience</t>
        </is>
      </c>
      <c r="B3" s="56" t="inlineStr">
        <is>
          <t>3–15 years of total experience (pilot: wider net)</t>
        </is>
      </c>
      <c r="C3" s="50" t="inlineStr">
        <is>
          <t>Freshers and people under 8 years; students; job seekers</t>
        </is>
      </c>
    </row>
    <row r="4" ht="29.1" customHeight="1">
      <c r="A4" s="4" t="inlineStr">
        <is>
          <t>Seniority</t>
        </is>
      </c>
      <c r="B4" s="56" t="inlineStr">
        <is>
          <t>Hands-on engineers (SRE, DevOps, cloud, platform, backend developers) plus their leads and managers</t>
        </is>
      </c>
      <c r="C4" s="56" t="inlineStr">
        <is>
          <t>Students and freshers; C-suite (reached separately through direct outreach)</t>
        </is>
      </c>
    </row>
    <row r="5" ht="43.5" customHeight="1">
      <c r="A5" s="4" t="inlineStr">
        <is>
          <t>Company type</t>
        </is>
      </c>
      <c r="B5" s="50" t="inlineStr">
        <is>
          <t>Product and SaaS companies, GCCs, digital-first businesses (fintech, e-commerce, edtech, healthtech), in-house tech teams of enterprises (BFSI, healthcare, retail, manufacturing)</t>
        </is>
      </c>
      <c r="C5" s="50" t="inlineStr">
        <is>
          <t>AWS partners and cloud MSPs (competitors). IT-services / outsourcing firms: CEO decision</t>
        </is>
      </c>
    </row>
    <row r="6">
      <c r="A6" s="4" t="inlineStr">
        <is>
          <t>Company size</t>
        </is>
      </c>
      <c r="B6" s="50" t="inlineStr">
        <is>
          <t>50+ employees (existing MQL gate)</t>
        </is>
      </c>
      <c r="C6" s="50" t="inlineStr">
        <is>
          <t>Under 50 employees</t>
        </is>
      </c>
    </row>
    <row r="7" ht="30.75" customHeight="1">
      <c r="A7" s="4" t="inlineStr">
        <is>
          <t>Geography</t>
        </is>
      </c>
      <c r="B7" s="50" t="inlineStr">
        <is>
          <t>India: Bengaluru, Hyderabad, Pune, Delhi-NCR, Chennai, Mumbai, tier 2 cities</t>
        </is>
      </c>
      <c r="C7" s="50" t="inlineStr">
        <is>
          <t>Outside India for this first episode</t>
        </is>
      </c>
    </row>
    <row r="8">
      <c r="A8" s="4" t="inlineStr">
        <is>
          <t>Email</t>
        </is>
      </c>
      <c r="B8" s="56" t="inlineStr">
        <is>
          <t>Ask for work email; accept personal email for the pilot, company name required (Decision 12)</t>
        </is>
      </c>
      <c r="C8" s="50" t="inlineStr">
        <is>
          <t>Gmail, Yahoo, Outlook and other personal domains</t>
        </is>
      </c>
    </row>
    <row r="10">
      <c r="A10" s="2" t="inlineStr">
        <is>
          <t>Job titles to target</t>
        </is>
      </c>
    </row>
    <row r="11">
      <c r="A11" s="53" t="inlineStr">
        <is>
          <t>Group</t>
        </is>
      </c>
      <c r="B11" s="53" t="inlineStr">
        <is>
          <t>Titles</t>
        </is>
      </c>
    </row>
    <row r="12" ht="43.5" customHeight="1">
      <c r="A12" s="4" t="inlineStr">
        <is>
          <t>Engineering leadership</t>
        </is>
      </c>
      <c r="B12" s="50" t="inlineStr">
        <is>
          <t>Engineering Manager, Senior Engineering Manager, Associate Director – Engineering, Head of Engineering (mid-size companies)</t>
        </is>
      </c>
    </row>
    <row r="13" ht="29.1" customHeight="1">
      <c r="A13" s="4" t="inlineStr">
        <is>
          <t>Architecture</t>
        </is>
      </c>
      <c r="B13" s="50" t="inlineStr">
        <is>
          <t>Solutions Architect, Cloud Architect, Technical Architect, Enterprise Architect, Principal / Staff Engineer</t>
        </is>
      </c>
    </row>
    <row r="14" ht="29.1" customHeight="1">
      <c r="A14" s="4" t="inlineStr">
        <is>
          <t>Cloud and operations</t>
        </is>
      </c>
      <c r="B14" s="50" t="inlineStr">
        <is>
          <t>DevOps Lead / Manager, Platform Engineering Lead, SRE Manager, Head of Infrastructure, Cloud Operations Manager</t>
        </is>
      </c>
    </row>
    <row r="15" ht="29.1" customHeight="1">
      <c r="A15" s="4" t="inlineStr">
        <is>
          <t>In-house IT</t>
        </is>
      </c>
      <c r="B15" s="50" t="inlineStr">
        <is>
          <t>IT Manager, Senior IT Manager, IT Infrastructure Manager, Deputy General Manager – IT</t>
        </is>
      </c>
    </row>
    <row r="16" ht="29.1" customHeight="1">
      <c r="A16" s="4" t="inlineStr">
        <is>
          <t>Delivery and product</t>
        </is>
      </c>
      <c r="B16" s="50" t="inlineStr">
        <is>
          <t>Technical Program Manager, Delivery Head, Technology Product Manager</t>
        </is>
      </c>
    </row>
    <row r="17">
      <c r="A17" s="4" t="inlineStr">
        <is>
          <t>Hands-on cloud engineers (pilot)</t>
        </is>
      </c>
      <c r="B17" s="56" t="inlineStr">
        <is>
          <t>SRE, DevOps Engineer, Cloud Engineer, Platform Engineer, Infrastructure Engineer, Kubernetes Engineer, Backend / Software Developer working on AWS, Azure or GCP</t>
        </is>
      </c>
    </row>
    <row r="18">
      <c r="A18" s="2" t="inlineStr">
        <is>
          <t>How we reach them</t>
        </is>
      </c>
    </row>
    <row r="19">
      <c r="A19" s="53" t="inlineStr">
        <is>
          <t>Platform</t>
        </is>
      </c>
      <c r="B19" s="53" t="inlineStr">
        <is>
          <t>How</t>
        </is>
      </c>
    </row>
    <row r="20" ht="29.1" customHeight="1">
      <c r="A20" s="4" t="inlineStr">
        <is>
          <t>LinkedIn</t>
        </is>
      </c>
      <c r="B20" s="56" t="inlineStr">
        <is>
          <t>Job titles (DevOps, SRE, Cloud, Platform, Cloud Architect, Engineering Manager) + 3–15 years + company size 51+. 60 registrations only (₹2,500 each).</t>
        </is>
      </c>
    </row>
    <row r="21" ht="29.1" customHeight="1">
      <c r="A21" s="4" t="inlineStr">
        <is>
          <t>Meta</t>
        </is>
      </c>
      <c r="B21" s="56" t="inlineStr">
        <is>
          <t>Age 24–45. 3 ad sets: cloud/DevOps interests, developer interests, Advantage+ broad; lookalike of registrants from day 6.</t>
        </is>
      </c>
    </row>
    <row r="22" ht="29.1" customHeight="1">
      <c r="A22" s="4" t="inlineStr">
        <is>
          <t>Own channels</t>
        </is>
      </c>
      <c r="B22" s="56" t="inlineStr">
        <is>
          <t>Not used to find new people. Email + WhatsApp are used only after someone registers (reminders, follow-up).</t>
        </is>
      </c>
    </row>
    <row r="23">
      <c r="A23" s="4" t="inlineStr">
        <is>
          <t>Google Search</t>
        </is>
      </c>
      <c r="B23" s="56" t="inlineStr">
        <is>
          <t>Cost-related keywords (Kubernetes / AWS cost optimisation, FinOps for AI). Negatives for jobs and courses.</t>
        </is>
      </c>
    </row>
    <row r="24">
      <c r="A24" s="4" t="inlineStr">
        <is>
          <t>Google Demand Gen</t>
        </is>
      </c>
      <c r="B24" s="56" t="inlineStr">
        <is>
          <t>Discover, Gmail and YouTube feed to custom segments of people searching cost, Kubernetes and SRE topics.</t>
        </is>
      </c>
    </row>
    <row r="26">
      <c r="A26" s="75" t="inlineStr">
        <is>
          <t>Green = changed or added on 4-Oct.</t>
        </is>
      </c>
    </row>
  </sheetData>
  <pageMargins left="0.75" right="0.75" top="1" bottom="1" header="0.5" footer="0.5"/>
  <pageSetup orientation="landscape" fitToHeight="0"/>
</worksheet>
</file>

<file path=xl/worksheets/sheet5.xml><?xml version="1.0" encoding="utf-8"?>
<worksheet xmlns="http://schemas.openxmlformats.org/spreadsheetml/2006/main">
  <sheetPr>
    <tabColor rgb="FF262626"/>
    <outlinePr summaryBelow="1" summaryRight="1"/>
    <pageSetUpPr fitToPage="1"/>
  </sheetPr>
  <dimension ref="A1:F30"/>
  <sheetViews>
    <sheetView showGridLines="0" tabSelected="0" workbookViewId="0">
      <selection activeCell="E14" sqref="E14"/>
    </sheetView>
  </sheetViews>
  <sheetFormatPr baseColWidth="8" defaultRowHeight="14.45"/>
  <cols>
    <col width="40" customWidth="1" min="1" max="1"/>
    <col width="16" customWidth="1" min="2" max="4"/>
    <col width="22" customWidth="1" min="3" max="3"/>
    <col width="20" customWidth="1" min="4" max="4"/>
    <col width="20" customWidth="1" min="5" max="5"/>
    <col width="60" customWidth="1" min="6" max="6"/>
  </cols>
  <sheetData>
    <row r="1" ht="18.6" customHeight="1">
      <c r="A1" s="62" t="inlineStr">
        <is>
          <t>Reverse funnel maths: 200 live attendees (cream = assumptions)</t>
        </is>
      </c>
      <c r="B1" s="73" t="n"/>
      <c r="C1" s="73" t="n"/>
      <c r="D1" s="73" t="n"/>
      <c r="E1" s="73" t="n"/>
      <c r="F1" s="73" t="n"/>
    </row>
    <row r="2">
      <c r="A2" s="74" t="inlineStr">
        <is>
          <t>Updated 4-Oct: the CEO wants 200 people attending live. Registrations come only from LinkedIn, Meta and Google ads.</t>
        </is>
      </c>
      <c r="B2" s="73" t="n"/>
      <c r="C2" s="73" t="n"/>
      <c r="D2" s="73" t="n"/>
      <c r="E2" s="73" t="n"/>
      <c r="F2" s="73" t="n"/>
    </row>
    <row r="3" ht="15" customHeight="1">
      <c r="A3" s="63" t="inlineStr">
        <is>
          <t>Funnel stage</t>
        </is>
      </c>
      <c r="B3" s="63" t="inlineStr">
        <is>
          <t>Plan</t>
        </is>
      </c>
      <c r="C3" s="63" t="inlineStr"/>
      <c r="D3" s="63" t="inlineStr"/>
      <c r="E3" s="63" t="inlineStr"/>
      <c r="F3" s="63" t="inlineStr">
        <is>
          <t>Why</t>
        </is>
      </c>
    </row>
    <row r="4" ht="15" customHeight="1">
      <c r="A4" s="67" t="inlineStr">
        <is>
          <t>Live attendees (target)</t>
        </is>
      </c>
      <c r="B4" s="76" t="n">
        <v>200</v>
      </c>
      <c r="C4" s="66" t="inlineStr"/>
      <c r="D4" s="64" t="n"/>
      <c r="E4" s="65" t="n"/>
      <c r="F4" s="66" t="inlineStr">
        <is>
          <t>CEO target.</t>
        </is>
      </c>
    </row>
    <row r="5" ht="15" customHeight="1">
      <c r="A5" s="67" t="inlineStr">
        <is>
          <t>Show-up rate</t>
        </is>
      </c>
      <c r="B5" s="77" t="n">
        <v>0.25</v>
      </c>
      <c r="C5" s="66" t="inlineStr"/>
      <c r="D5" s="64" t="n"/>
      <c r="E5" s="65" t="n"/>
      <c r="F5" s="66" t="inlineStr">
        <is>
          <t>Your 22-Sep number. B2B median is 41.6%, but cold paid traffic is lower; email + WhatsApp push it up.</t>
        </is>
      </c>
    </row>
    <row r="6" ht="15" customHeight="1">
      <c r="A6" s="67" t="inlineStr">
        <is>
          <t>Registrations needed</t>
        </is>
      </c>
      <c r="B6" s="78">
        <f>ROUNDUP(B4/B5,0)</f>
        <v>800.0</v>
      </c>
      <c r="C6" s="66" t="inlineStr"/>
      <c r="D6" s="64" t="n"/>
      <c r="E6" s="65" t="n"/>
      <c r="F6" s="66" t="inlineStr"/>
    </row>
    <row r="7" ht="15" customHeight="1">
      <c r="A7" s="67" t="inlineStr">
        <is>
          <t>Buffer for fake / duplicate sign-ups</t>
        </is>
      </c>
      <c r="B7" s="77" t="n">
        <v>0.1</v>
      </c>
      <c r="C7" s="66" t="inlineStr"/>
      <c r="D7" s="64" t="n"/>
      <c r="E7" s="65" t="n"/>
      <c r="F7" s="66" t="inlineStr">
        <is>
          <t>Mass audiences bring some junk entries.</t>
        </is>
      </c>
    </row>
    <row r="8" hidden="1" ht="15" customHeight="1">
      <c r="A8" s="67" t="inlineStr">
        <is>
          <t>Registrations to plan for (buy with ads)</t>
        </is>
      </c>
      <c r="B8" s="78">
        <f>ROUND(B6*(1+B7),0)</f>
        <v>880.0</v>
      </c>
      <c r="C8" s="66" t="inlineStr"/>
      <c r="D8" s="64" t="n"/>
      <c r="E8" s="65" t="n"/>
      <c r="F8" s="66" t="inlineStr">
        <is>
          <t>This is what the Budget tab buys.</t>
        </is>
      </c>
    </row>
    <row r="9" hidden="1" ht="15" customHeight="1">
      <c r="A9" s="67" t="inlineStr">
        <is>
          <t>Landing page conversion</t>
        </is>
      </c>
      <c r="B9" s="77" t="n">
        <v>0.15</v>
      </c>
      <c r="C9" s="66" t="inlineStr"/>
      <c r="D9" s="64" t="n"/>
      <c r="E9" s="65" t="n"/>
      <c r="F9" s="66" t="inlineStr">
        <is>
          <t>Your 22-Sep number.</t>
        </is>
      </c>
    </row>
    <row r="10" hidden="1" ht="15" customHeight="1">
      <c r="A10" s="67" t="inlineStr">
        <is>
          <t>Landing page visits needed</t>
        </is>
      </c>
      <c r="B10" s="78">
        <f>ROUND(B8/B9,0)</f>
        <v>5867.0</v>
      </c>
      <c r="C10" s="66" t="inlineStr"/>
      <c r="D10" s="64" t="n"/>
      <c r="E10" s="65" t="n"/>
      <c r="F10" s="66" t="inlineStr"/>
    </row>
    <row r="11" ht="15" customHeight="1">
      <c r="A11" s="67" t="inlineStr">
        <is>
          <t>Ad click-through rate</t>
        </is>
      </c>
      <c r="B11" s="79" t="n">
        <v>0.006</v>
      </c>
      <c r="C11" s="66" t="inlineStr"/>
      <c r="D11" s="64" t="n"/>
      <c r="E11" s="65" t="n"/>
      <c r="F11" s="66" t="inlineStr">
        <is>
          <t>Your 22-Sep number.</t>
        </is>
      </c>
    </row>
    <row r="12">
      <c r="A12" s="67" t="inlineStr">
        <is>
          <t>Impressions needed</t>
        </is>
      </c>
      <c r="B12" s="78">
        <f>ROUND(B10/B11,-2)</f>
        <v>977800.0</v>
      </c>
      <c r="C12" s="66" t="inlineStr"/>
      <c r="D12" s="64" t="n"/>
      <c r="E12" s="65" t="n"/>
      <c r="F12" s="66" t="inlineStr"/>
    </row>
    <row r="13">
      <c r="A13" s="73" t="n"/>
      <c r="B13" s="73" t="n"/>
      <c r="C13" s="73" t="n"/>
      <c r="D13" s="73" t="n"/>
      <c r="E13" s="73" t="n"/>
      <c r="F13" s="73" t="n"/>
    </row>
    <row r="14">
      <c r="A14" s="74" t="inlineStr">
        <is>
          <t>22-Sep plan for comparison: 30 live, 150 registrations, ₹1,20,000 media.</t>
        </is>
      </c>
      <c r="B14" s="73" t="n"/>
      <c r="C14" s="73" t="n"/>
      <c r="D14" s="73" t="n"/>
      <c r="E14" s="73" t="n"/>
      <c r="F14" s="73" t="n"/>
    </row>
    <row r="15">
      <c r="A15" s="73" t="n"/>
      <c r="B15" s="73" t="n"/>
      <c r="C15" s="73" t="n"/>
      <c r="D15" s="73" t="n"/>
      <c r="E15" s="73" t="n"/>
      <c r="F15" s="73" t="n"/>
    </row>
    <row r="16">
      <c r="A16" s="69" t="inlineStr">
        <is>
          <t>What if the show-up rate is different? (the biggest lever on cost)</t>
        </is>
      </c>
      <c r="B16" s="73" t="n"/>
      <c r="C16" s="73" t="n"/>
      <c r="D16" s="73" t="n"/>
      <c r="E16" s="73" t="n"/>
      <c r="F16" s="73" t="n"/>
    </row>
    <row r="17">
      <c r="A17" s="63" t="inlineStr">
        <is>
          <t>Show-up rate</t>
        </is>
      </c>
      <c r="B17" s="63" t="inlineStr">
        <is>
          <t>Registrations needed</t>
        </is>
      </c>
      <c r="C17" s="63" t="inlineStr">
        <is>
          <t>Registrations to plan for</t>
        </is>
      </c>
      <c r="D17" s="63" t="inlineStr">
        <is>
          <t>Media (ex-GST)</t>
        </is>
      </c>
      <c r="E17" s="63" t="inlineStr">
        <is>
          <t>Media + GST</t>
        </is>
      </c>
      <c r="F17" s="63" t="inlineStr">
        <is>
          <t>What it takes</t>
        </is>
      </c>
    </row>
    <row r="18">
      <c r="A18" s="80" t="n">
        <v>0.2</v>
      </c>
      <c r="B18" s="78">
        <f>ROUNDUP($B$4/A18,0)</f>
        <v>1000.0</v>
      </c>
      <c r="C18" s="78">
        <f>ROUND(B18*(1+$B$7),0)</f>
        <v>1100.0</v>
      </c>
      <c r="D18" s="81">
        <f>C18*Budget!$C$9</f>
        <v>906250.0</v>
      </c>
      <c r="E18" s="81">
        <f>D18*(1+Budget!$B$15)</f>
        <v>1069375.0</v>
      </c>
      <c r="F18" s="66" t="inlineStr">
        <is>
          <t>Weak reminders, cold audience</t>
        </is>
      </c>
    </row>
    <row r="19">
      <c r="A19" s="80" t="n">
        <v>0.25</v>
      </c>
      <c r="B19" s="78">
        <f>ROUNDUP($B$4/A19,0)</f>
        <v>800.0</v>
      </c>
      <c r="C19" s="78">
        <f>ROUND(B19*(1+$B$7),0)</f>
        <v>880.0</v>
      </c>
      <c r="D19" s="81">
        <f>C19*Budget!$C$9</f>
        <v>725000.0</v>
      </c>
      <c r="E19" s="81">
        <f>D19*(1+Budget!$B$15)</f>
        <v>855500.0</v>
      </c>
      <c r="F19" s="66" t="inlineStr">
        <is>
          <t>This plan</t>
        </is>
      </c>
    </row>
    <row r="20">
      <c r="A20" s="80" t="n">
        <v>0.3</v>
      </c>
      <c r="B20" s="78">
        <f>ROUNDUP($B$4/A20,0)</f>
        <v>667.0</v>
      </c>
      <c r="C20" s="78">
        <f>ROUND(B20*(1+$B$7),0)</f>
        <v>734.0</v>
      </c>
      <c r="D20" s="81">
        <f>C20*Budget!$C$9</f>
        <v>604715.9090909091</v>
      </c>
      <c r="E20" s="81">
        <f>D20*(1+Budget!$B$15)</f>
        <v>713564.7727272727</v>
      </c>
      <c r="F20" s="66" t="inlineStr">
        <is>
          <t>Strong WhatsApp sequence + T-1 calls</t>
        </is>
      </c>
    </row>
    <row r="21">
      <c r="A21" s="80" t="n">
        <v>0.35</v>
      </c>
      <c r="B21" s="78">
        <f>ROUNDUP($B$4/A21,0)</f>
        <v>572.0</v>
      </c>
      <c r="C21" s="78">
        <f>ROUND(B21*(1+$B$7),0)</f>
        <v>629.0</v>
      </c>
      <c r="D21" s="81">
        <f>C21*Budget!$C$9</f>
        <v>518210.2272727273</v>
      </c>
      <c r="E21" s="81">
        <f>D21*(1+Budget!$B$15)</f>
        <v>611488.0681818181</v>
      </c>
      <c r="F21" s="66" t="inlineStr">
        <is>
          <t>Plus attendance-only rewards working well</t>
        </is>
      </c>
    </row>
    <row r="22">
      <c r="A22" s="80" t="n">
        <v>0.4</v>
      </c>
      <c r="B22" s="78">
        <f>ROUNDUP($B$4/A22,0)</f>
        <v>500.0</v>
      </c>
      <c r="C22" s="78">
        <f>ROUND(B22*(1+$B$7),0)</f>
        <v>550.0</v>
      </c>
      <c r="D22" s="81">
        <f>C22*Budget!$C$9</f>
        <v>453125.0</v>
      </c>
      <c r="E22" s="81">
        <f>D22*(1+Budget!$B$15)</f>
        <v>534687.5</v>
      </c>
      <c r="F22" s="66" t="inlineStr">
        <is>
          <t>B2B median level; hard for a first webinar</t>
        </is>
      </c>
    </row>
    <row r="23">
      <c r="A23" s="74" t="inlineStr">
        <is>
          <t>Media cost uses the blended cost per registration from the Budget tab.</t>
        </is>
      </c>
      <c r="B23" s="73" t="n"/>
      <c r="C23" s="73" t="n"/>
      <c r="D23" s="73" t="n"/>
      <c r="E23" s="73" t="n"/>
      <c r="F23" s="73" t="n"/>
    </row>
    <row r="24">
      <c r="A24" s="73" t="n"/>
      <c r="B24" s="73" t="n"/>
      <c r="C24" s="73" t="n"/>
      <c r="D24" s="73" t="n"/>
      <c r="E24" s="73" t="n"/>
      <c r="F24" s="73" t="n"/>
    </row>
    <row r="25">
      <c r="A25" s="73" t="n"/>
      <c r="B25" s="73" t="n"/>
      <c r="C25" s="73" t="n"/>
      <c r="D25" s="73" t="n"/>
      <c r="E25" s="73" t="n"/>
      <c r="F25" s="73" t="n"/>
    </row>
    <row r="26">
      <c r="A26" s="73" t="n"/>
      <c r="B26" s="73" t="n"/>
      <c r="C26" s="73" t="n"/>
      <c r="D26" s="73" t="n"/>
      <c r="E26" s="73" t="n"/>
      <c r="F26" s="73" t="n"/>
    </row>
    <row r="27">
      <c r="A27" s="73" t="n"/>
      <c r="B27" s="73" t="n"/>
      <c r="C27" s="73" t="n"/>
      <c r="D27" s="73" t="n"/>
      <c r="E27" s="73" t="n"/>
      <c r="F27" s="73" t="n"/>
    </row>
    <row r="28">
      <c r="A28" s="73" t="n"/>
      <c r="B28" s="73" t="n"/>
      <c r="C28" s="73" t="n"/>
      <c r="D28" s="73" t="n"/>
      <c r="E28" s="73" t="n"/>
      <c r="F28" s="73" t="n"/>
    </row>
    <row r="29">
      <c r="A29" s="73" t="n"/>
      <c r="B29" s="73" t="n"/>
      <c r="C29" s="73" t="n"/>
      <c r="D29" s="73" t="n"/>
      <c r="E29" s="73" t="n"/>
      <c r="F29" s="73" t="n"/>
    </row>
    <row r="30">
      <c r="A30" s="73" t="n"/>
      <c r="B30" s="73" t="n"/>
      <c r="C30" s="73" t="n"/>
      <c r="D30" s="73" t="n"/>
      <c r="E30" s="73" t="n"/>
      <c r="F30" s="73" t="n"/>
    </row>
  </sheetData>
  <mergeCells count="9">
    <mergeCell ref="C11:E11"/>
    <mergeCell ref="C5:E5"/>
    <mergeCell ref="C8:E8"/>
    <mergeCell ref="C9:E9"/>
    <mergeCell ref="C4:E4"/>
    <mergeCell ref="C7:E7"/>
    <mergeCell ref="C12:E12"/>
    <mergeCell ref="C6:E6"/>
    <mergeCell ref="C10:E10"/>
  </mergeCells>
  <pageMargins left="0.75" right="0.75" top="1" bottom="1" header="0.5" footer="0.5"/>
  <pageSetup orientation="landscape" fitToHeight="0"/>
</worksheet>
</file>

<file path=xl/worksheets/sheet6.xml><?xml version="1.0" encoding="utf-8"?>
<worksheet xmlns="http://schemas.openxmlformats.org/spreadsheetml/2006/main">
  <sheetPr>
    <tabColor rgb="FFFFB42A"/>
    <outlinePr summaryBelow="1" summaryRight="1"/>
    <pageSetUpPr fitToPage="1"/>
  </sheetPr>
  <dimension ref="A1:L45"/>
  <sheetViews>
    <sheetView showGridLines="0" tabSelected="0" topLeftCell="A8" workbookViewId="0">
      <selection activeCell="C20" sqref="C20"/>
    </sheetView>
  </sheetViews>
  <sheetFormatPr baseColWidth="8" defaultRowHeight="14.45"/>
  <cols>
    <col width="48" customWidth="1" min="1" max="1"/>
    <col width="14" customWidth="1" min="2" max="2"/>
    <col width="14" customWidth="1" min="3" max="3"/>
    <col width="9" customWidth="1" min="4" max="4"/>
    <col width="13" customWidth="1" min="5" max="5"/>
    <col width="16" customWidth="1" min="6" max="6"/>
    <col width="14" customWidth="1" min="7" max="7"/>
    <col width="14" customWidth="1" min="8" max="8"/>
    <col width="14" customWidth="1" min="9" max="9"/>
    <col width="14" customWidth="1" min="10" max="10"/>
    <col width="50" customWidth="1" min="11" max="11"/>
    <col width="46" customWidth="1" min="12" max="12"/>
  </cols>
  <sheetData>
    <row r="1" ht="18.6" customHeight="1">
      <c r="A1" s="62" t="inlineStr">
        <is>
          <t>Budget for 200 live attendees: LinkedIn, Meta and Google only</t>
        </is>
      </c>
      <c r="B1" s="73" t="n"/>
      <c r="C1" s="73" t="n"/>
      <c r="D1" s="73" t="n"/>
      <c r="E1" s="73" t="n"/>
      <c r="F1" s="73" t="n"/>
      <c r="G1" s="73" t="n"/>
      <c r="H1" s="73" t="n"/>
      <c r="I1" s="73" t="n"/>
      <c r="J1" s="73" t="n"/>
      <c r="K1" s="73" t="n"/>
      <c r="L1" s="73" t="n"/>
    </row>
    <row r="2">
      <c r="A2" s="74" t="inlineStr">
        <is>
          <t>Cream = assumption. Meta ₹700 and LinkedIn ₹2,500 are your 22-Sep CPLs; Google numbers are estimates. Email and WhatsApp are used only after registration.</t>
        </is>
      </c>
      <c r="B2" s="73" t="n"/>
      <c r="C2" s="73" t="n"/>
      <c r="D2" s="73" t="n"/>
      <c r="E2" s="73" t="n"/>
      <c r="F2" s="73" t="n"/>
      <c r="G2" s="73" t="n"/>
      <c r="H2" s="73" t="n"/>
      <c r="I2" s="73" t="n"/>
      <c r="J2" s="73" t="n"/>
      <c r="K2" s="73" t="n"/>
      <c r="L2" s="73" t="n"/>
    </row>
    <row r="3" ht="15" customHeight="1">
      <c r="A3" s="63" t="inlineStr">
        <is>
          <t>Source</t>
        </is>
      </c>
      <c r="B3" s="63" t="inlineStr">
        <is>
          <t>Registrations</t>
        </is>
      </c>
      <c r="C3" s="63" t="inlineStr">
        <is>
          <t>Cost per registration</t>
        </is>
      </c>
      <c r="D3" s="64" t="n"/>
      <c r="E3" s="65" t="n"/>
      <c r="F3" s="63" t="inlineStr">
        <is>
          <t>Media budget (ex-GST)</t>
        </is>
      </c>
      <c r="G3" s="64" t="n"/>
      <c r="H3" s="64" t="n"/>
      <c r="I3" s="64" t="n"/>
      <c r="J3" s="65" t="n"/>
      <c r="K3" s="63" t="inlineStr">
        <is>
          <t>Notes</t>
        </is>
      </c>
      <c r="L3" s="73" t="n"/>
    </row>
    <row r="4" ht="15" customHeight="1">
      <c r="A4" s="66" t="inlineStr">
        <is>
          <t>Meta: new audience (VSL landing page; instant form tested in week 1)</t>
        </is>
      </c>
      <c r="B4" s="82" t="n">
        <v>560</v>
      </c>
      <c r="C4" s="83" t="n">
        <v>700</v>
      </c>
      <c r="D4" s="64" t="n"/>
      <c r="E4" s="65" t="n"/>
      <c r="F4" s="81">
        <f>B4*C4</f>
        <v>392000.0</v>
      </c>
      <c r="G4" s="64" t="n"/>
      <c r="H4" s="64" t="n"/>
      <c r="I4" s="64" t="n"/>
      <c r="J4" s="65" t="n"/>
      <c r="K4" s="66" t="inlineStr">
        <is>
          <t>Main volume engine. 3 ad sets: cloud/DevOps interests, developer interests, Advantage+ broad.</t>
        </is>
      </c>
      <c r="L4" s="73" t="n"/>
    </row>
    <row r="5" ht="15" customHeight="1">
      <c r="A5" s="66" t="inlineStr">
        <is>
          <t>Meta: retargeting (VSL viewers, page visitors)</t>
        </is>
      </c>
      <c r="B5" s="82" t="n">
        <v>80</v>
      </c>
      <c r="C5" s="83" t="n">
        <v>400</v>
      </c>
      <c r="D5" s="64" t="n"/>
      <c r="E5" s="65" t="n"/>
      <c r="F5" s="81">
        <f>B5*C5</f>
        <v>32000.0</v>
      </c>
      <c r="G5" s="64" t="n"/>
      <c r="H5" s="64" t="n"/>
      <c r="I5" s="64" t="n"/>
      <c r="J5" s="65" t="n"/>
      <c r="K5" s="66" t="inlineStr">
        <is>
          <t>Starts Wed 14-Oct. Estimate.</t>
        </is>
      </c>
      <c r="L5" s="73" t="n"/>
    </row>
    <row r="6" ht="15" customHeight="1">
      <c r="A6" s="66" t="inlineStr">
        <is>
          <t>LinkedIn: Lead Gen Form + CTO Thought Leader Ads</t>
        </is>
      </c>
      <c r="B6" s="82" t="n">
        <v>60</v>
      </c>
      <c r="C6" s="83" t="n">
        <v>2500</v>
      </c>
      <c r="D6" s="64" t="n"/>
      <c r="E6" s="65" t="n"/>
      <c r="F6" s="81">
        <f>B6*C6</f>
        <v>150000.0</v>
      </c>
      <c r="G6" s="64" t="n"/>
      <c r="H6" s="64" t="n"/>
      <c r="I6" s="64" t="n"/>
      <c r="J6" s="65" t="n"/>
      <c r="K6" s="66" t="inlineStr">
        <is>
          <t>Your ₹2,500 CPL. Kept small: best for senior titles, too costly for volume.</t>
        </is>
      </c>
      <c r="L6" s="73" t="n"/>
    </row>
    <row r="7" ht="15" customHeight="1">
      <c r="A7" s="66" t="inlineStr">
        <is>
          <t>Google Search</t>
        </is>
      </c>
      <c r="B7" s="82" t="n">
        <v>80</v>
      </c>
      <c r="C7" s="83" t="n">
        <v>950</v>
      </c>
      <c r="D7" s="64" t="n"/>
      <c r="E7" s="65" t="n"/>
      <c r="F7" s="81">
        <f>B7*C7</f>
        <v>76000.0</v>
      </c>
      <c r="G7" s="64" t="n"/>
      <c r="H7" s="64" t="n"/>
      <c r="I7" s="64" t="n"/>
      <c r="J7" s="65" t="n"/>
      <c r="K7" s="66" t="inlineStr">
        <is>
          <t>Cost-related searches (Kubernetes / AWS cost optimisation). Estimate.</t>
        </is>
      </c>
      <c r="L7" s="73" t="n"/>
    </row>
    <row r="8" ht="15" customHeight="1">
      <c r="A8" s="66" t="inlineStr">
        <is>
          <t>Google Demand Gen (Discover, Gmail, YouTube feed)</t>
        </is>
      </c>
      <c r="B8" s="82" t="n">
        <v>100</v>
      </c>
      <c r="C8" s="83" t="n">
        <v>750</v>
      </c>
      <c r="D8" s="64" t="n"/>
      <c r="E8" s="65" t="n"/>
      <c r="F8" s="81">
        <f>B8*C8</f>
        <v>75000.0</v>
      </c>
      <c r="G8" s="64" t="n"/>
      <c r="H8" s="64" t="n"/>
      <c r="I8" s="64" t="n"/>
      <c r="J8" s="65" t="n"/>
      <c r="K8" s="66" t="inlineStr">
        <is>
          <t>Image + video ads to custom segments. Estimate.</t>
        </is>
      </c>
      <c r="L8" s="73" t="n"/>
    </row>
    <row r="9">
      <c r="A9" s="84" t="inlineStr">
        <is>
          <t>Total</t>
        </is>
      </c>
      <c r="B9" s="85">
        <f>SUM(B4:B8)</f>
        <v>880.0</v>
      </c>
      <c r="C9" s="86">
        <f>IFERROR(F9/B9,0)</f>
        <v>823.8636363636364</v>
      </c>
      <c r="D9" s="64" t="n"/>
      <c r="E9" s="65" t="n"/>
      <c r="F9" s="86">
        <f>SUM(F4:F8)</f>
        <v>725000.0</v>
      </c>
      <c r="G9" s="64" t="n"/>
      <c r="H9" s="64" t="n"/>
      <c r="I9" s="64" t="n"/>
      <c r="J9" s="65" t="n"/>
      <c r="K9" s="87" t="inlineStr">
        <is>
          <t>Cost per registration here = blended average.</t>
        </is>
      </c>
      <c r="L9" s="73" t="n"/>
    </row>
    <row r="10">
      <c r="A10" s="66" t="inlineStr">
        <is>
          <t>Check against the funnel</t>
        </is>
      </c>
      <c r="B10" s="67" t="str">
        <f>IF(B9&gt;=Funnel!B8,"OK: covers "&amp;Funnel!B8,"Short by "&amp;(Funnel!B8-B9))</f>
        <v>OK: covers 880</v>
      </c>
      <c r="C10" s="64" t="n"/>
      <c r="D10" s="64" t="n"/>
      <c r="E10" s="64" t="n"/>
      <c r="F10" s="64" t="n"/>
      <c r="G10" s="64" t="n"/>
      <c r="H10" s="64" t="n"/>
      <c r="I10" s="64" t="n"/>
      <c r="J10" s="65" t="n"/>
      <c r="K10" s="73" t="n"/>
      <c r="L10" s="73" t="n"/>
    </row>
    <row r="11">
      <c r="A11" s="73" t="n"/>
      <c r="B11" s="73" t="n"/>
      <c r="C11" s="73" t="n"/>
      <c r="D11" s="73" t="n"/>
      <c r="E11" s="73" t="n"/>
      <c r="F11" s="73" t="n"/>
      <c r="G11" s="73" t="n"/>
      <c r="H11" s="73" t="n"/>
      <c r="I11" s="73" t="n"/>
      <c r="J11" s="73" t="n"/>
      <c r="K11" s="73" t="n"/>
      <c r="L11" s="73" t="n"/>
    </row>
    <row r="12">
      <c r="A12" s="69" t="inlineStr">
        <is>
          <t>Full budget</t>
        </is>
      </c>
      <c r="B12" s="73" t="n"/>
      <c r="C12" s="73" t="n"/>
      <c r="D12" s="73" t="n"/>
      <c r="E12" s="73" t="n"/>
      <c r="F12" s="73" t="n"/>
      <c r="G12" s="73" t="n"/>
      <c r="H12" s="73" t="n"/>
      <c r="I12" s="73" t="n"/>
      <c r="J12" s="73" t="n"/>
      <c r="K12" s="73" t="n"/>
      <c r="L12" s="73" t="n"/>
    </row>
    <row r="13">
      <c r="A13" s="63" t="inlineStr">
        <is>
          <t>Item</t>
        </is>
      </c>
      <c r="B13" s="63" t="inlineStr">
        <is>
          <t>Rate</t>
        </is>
      </c>
      <c r="C13" s="64" t="n"/>
      <c r="D13" s="64" t="n"/>
      <c r="E13" s="65" t="n"/>
      <c r="F13" s="63" t="inlineStr">
        <is>
          <t>Amount</t>
        </is>
      </c>
      <c r="G13" s="64" t="n"/>
      <c r="H13" s="64" t="n"/>
      <c r="I13" s="64" t="n"/>
      <c r="J13" s="65" t="n"/>
      <c r="K13" s="63" t="inlineStr">
        <is>
          <t>Notes</t>
        </is>
      </c>
      <c r="L13" s="73" t="n"/>
    </row>
    <row r="14">
      <c r="A14" s="66" t="inlineStr">
        <is>
          <t>Media (ex-GST)</t>
        </is>
      </c>
      <c r="B14" s="66" t="n"/>
      <c r="C14" s="64" t="n"/>
      <c r="D14" s="64" t="n"/>
      <c r="E14" s="65" t="n"/>
      <c r="F14" s="81">
        <f>F9</f>
        <v>725000.0</v>
      </c>
      <c r="G14" s="64" t="n"/>
      <c r="H14" s="64" t="n"/>
      <c r="I14" s="64" t="n"/>
      <c r="J14" s="65" t="n"/>
      <c r="K14" s="66" t="inlineStr">
        <is>
          <t>From the table above.</t>
        </is>
      </c>
      <c r="L14" s="73" t="n"/>
    </row>
    <row r="15">
      <c r="A15" s="66" t="inlineStr">
        <is>
          <t>GST on media</t>
        </is>
      </c>
      <c r="B15" s="77" t="n">
        <v>0.18</v>
      </c>
      <c r="C15" s="64" t="n"/>
      <c r="D15" s="64" t="n"/>
      <c r="E15" s="65" t="n"/>
      <c r="F15" s="81">
        <f>F14*B15</f>
        <v>130500.0</v>
      </c>
      <c r="G15" s="64" t="n"/>
      <c r="H15" s="64" t="n"/>
      <c r="I15" s="64" t="n"/>
      <c r="J15" s="65" t="n"/>
      <c r="K15" s="66" t="inlineStr">
        <is>
          <t>18% on Meta, LinkedIn and Google invoices.</t>
        </is>
      </c>
      <c r="L15" s="73" t="n"/>
    </row>
    <row r="16">
      <c r="A16" s="66" t="inlineStr">
        <is>
          <t>Creative production</t>
        </is>
      </c>
      <c r="B16" s="66" t="n"/>
      <c r="C16" s="64" t="n"/>
      <c r="D16" s="64" t="n"/>
      <c r="E16" s="65" t="n"/>
      <c r="F16" s="81">
        <f>Creatives!F41</f>
        <v>44000.0</v>
      </c>
      <c r="G16" s="64" t="n"/>
      <c r="H16" s="64" t="n"/>
      <c r="I16" s="64" t="n"/>
      <c r="J16" s="65" t="n"/>
      <c r="K16" s="66" t="inlineStr">
        <is>
          <t>Breakdown at the bottom of the Creatives tab.</t>
        </is>
      </c>
      <c r="L16" s="73" t="n"/>
    </row>
    <row r="17" ht="43.5" customHeight="1">
      <c r="A17" s="66" t="inlineStr">
        <is>
          <t>Zoom Webinars, 500 attendees (1 month, monthly billing)</t>
        </is>
      </c>
      <c r="B17" s="83" t="n">
        <v>11610</v>
      </c>
      <c r="C17" s="64" t="n"/>
      <c r="D17" s="64" t="n"/>
      <c r="E17" s="65" t="n"/>
      <c r="F17" s="81">
        <f>B17</f>
        <v>11610.0</v>
      </c>
      <c r="G17" s="64" t="n"/>
      <c r="H17" s="64" t="n"/>
      <c r="I17" s="64" t="n"/>
      <c r="J17" s="65" t="n"/>
      <c r="K17" s="66" t="inlineStr">
        <is>
          <t>200 live needs more than the 100-seat plan in Overview. India list price, ex-GST; confirm on zoom.us.</t>
        </is>
      </c>
      <c r="L17" s="73" t="n"/>
    </row>
    <row r="18" ht="29.1" customHeight="1">
      <c r="A18" s="66" t="inlineStr">
        <is>
          <t>Zoom Workplace Pro host licence (1 month)</t>
        </is>
      </c>
      <c r="B18" s="83" t="n">
        <v>1580</v>
      </c>
      <c r="C18" s="64" t="n"/>
      <c r="D18" s="64" t="n"/>
      <c r="E18" s="65" t="n"/>
      <c r="F18" s="81">
        <f>B18</f>
        <v>1580.0</v>
      </c>
      <c r="G18" s="64" t="n"/>
      <c r="H18" s="64" t="n"/>
      <c r="I18" s="64" t="n"/>
      <c r="J18" s="65" t="n"/>
      <c r="K18" s="66" t="inlineStr">
        <is>
          <t>From the Overview tab. Required under a Webinars licence.</t>
        </is>
      </c>
      <c r="L18" s="73" t="n"/>
    </row>
    <row r="19" ht="29.1" customHeight="1">
      <c r="A19" s="66" t="inlineStr">
        <is>
          <t>Email + WhatsApp sending (after registration)</t>
        </is>
      </c>
      <c r="B19" s="83" t="n">
        <v>10000</v>
      </c>
      <c r="C19" s="64" t="n"/>
      <c r="D19" s="64" t="n"/>
      <c r="E19" s="65" t="n"/>
      <c r="F19" s="81">
        <f>B19</f>
        <v>10000.0</v>
      </c>
      <c r="G19" s="64" t="n"/>
      <c r="H19" s="64" t="n"/>
      <c r="I19" s="64" t="n"/>
      <c r="J19" s="65" t="n"/>
      <c r="K19" s="66" t="inlineStr">
        <is>
          <t>~880 people × 10 messages. Estimate; get a quote.</t>
        </is>
      </c>
      <c r="L19" s="73" t="n"/>
    </row>
    <row r="20" customFormat="1" s="32">
      <c r="A20" s="66" t="inlineStr">
        <is>
          <t>Offers (lucky draw)</t>
        </is>
      </c>
      <c r="B20" s="66" t="n"/>
      <c r="C20" s="64" t="n"/>
      <c r="D20" s="64" t="n"/>
      <c r="E20" s="65" t="n"/>
      <c r="F20" s="81">
        <f>Offers!F14</f>
        <v>20000.0</v>
      </c>
      <c r="G20" s="64" t="n"/>
      <c r="H20" s="64" t="n"/>
      <c r="I20" s="64" t="n"/>
      <c r="J20" s="65" t="n"/>
      <c r="K20" s="66" t="inlineStr">
        <is>
          <t>From the Offers tab.</t>
        </is>
      </c>
      <c r="L20" s="73" t="n"/>
    </row>
    <row r="21">
      <c r="A21" s="84" t="inlineStr">
        <is>
          <t>TOTAL (everything included)</t>
        </is>
      </c>
      <c r="B21" s="87" t="inlineStr"/>
      <c r="C21" s="64" t="n"/>
      <c r="D21" s="64" t="n"/>
      <c r="E21" s="65" t="n"/>
      <c r="F21" s="86">
        <f>SUM(F14:F20)</f>
        <v>942690.0</v>
      </c>
      <c r="G21" s="64" t="n"/>
      <c r="H21" s="64" t="n"/>
      <c r="I21" s="64" t="n"/>
      <c r="J21" s="65" t="n"/>
      <c r="K21" s="87" t="inlineStr"/>
      <c r="L21" s="73" t="n"/>
    </row>
    <row r="22">
      <c r="A22" s="67" t="inlineStr">
        <is>
          <t>Cost per registration (everything included)</t>
        </is>
      </c>
      <c r="B22" s="66" t="inlineStr"/>
      <c r="C22" s="64" t="n"/>
      <c r="D22" s="64" t="n"/>
      <c r="E22" s="65" t="n"/>
      <c r="F22" s="88">
        <f>IFERROR(F21/Funnel!B6,0)</f>
        <v>1178.3625</v>
      </c>
      <c r="G22" s="64" t="n"/>
      <c r="H22" s="64" t="n"/>
      <c r="I22" s="64" t="n"/>
      <c r="J22" s="65" t="n"/>
      <c r="K22" s="66" t="inlineStr">
        <is>
          <t>22-Sep plan: ₹1,41,600 with GST for 150 registrations / 30 live, tools separate.</t>
        </is>
      </c>
      <c r="L22" s="73" t="n"/>
    </row>
    <row r="23">
      <c r="A23" s="67" t="inlineStr">
        <is>
          <t>Cost per live attendee (everything included)</t>
        </is>
      </c>
      <c r="B23" s="66" t="inlineStr"/>
      <c r="C23" s="64" t="n"/>
      <c r="D23" s="64" t="n"/>
      <c r="E23" s="65" t="n"/>
      <c r="F23" s="88">
        <f>IFERROR(F21/Funnel!B4,0)</f>
        <v>4713.45</v>
      </c>
      <c r="G23" s="64" t="n"/>
      <c r="H23" s="64" t="n"/>
      <c r="I23" s="64" t="n"/>
      <c r="J23" s="65" t="n"/>
      <c r="K23" s="66" t="inlineStr">
        <is>
          <t>Raise the show-up rate to 30% and this drops a lot (Funnel tab, what-if table).</t>
        </is>
      </c>
      <c r="L23" s="73" t="n"/>
    </row>
    <row r="24">
      <c r="A24" s="73" t="n"/>
      <c r="B24" s="73" t="n"/>
      <c r="C24" s="73" t="n"/>
      <c r="D24" s="73" t="n"/>
      <c r="E24" s="73" t="n"/>
      <c r="F24" s="73" t="n"/>
      <c r="G24" s="73" t="n"/>
      <c r="H24" s="73" t="n"/>
      <c r="I24" s="73" t="n"/>
      <c r="J24" s="73" t="n"/>
      <c r="K24" s="73" t="n"/>
      <c r="L24" s="73" t="n"/>
    </row>
    <row r="25">
      <c r="A25" s="69" t="inlineStr">
        <is>
          <t>Released in three stages (ads run Fri 9-Oct to Mon 26-Oct)</t>
        </is>
      </c>
      <c r="B25" s="73" t="n"/>
      <c r="C25" s="73" t="n"/>
      <c r="D25" s="73" t="n"/>
      <c r="E25" s="73" t="n"/>
      <c r="F25" s="73" t="n"/>
      <c r="G25" s="73" t="n"/>
      <c r="H25" s="73" t="n"/>
      <c r="I25" s="73" t="n"/>
      <c r="J25" s="73" t="n"/>
      <c r="K25" s="73" t="n"/>
      <c r="L25" s="73" t="n"/>
    </row>
    <row r="26">
      <c r="A26" s="63" t="inlineStr">
        <is>
          <t>Stage</t>
        </is>
      </c>
      <c r="B26" s="63" t="inlineStr">
        <is>
          <t>Start</t>
        </is>
      </c>
      <c r="C26" s="63" t="inlineStr">
        <is>
          <t>End</t>
        </is>
      </c>
      <c r="D26" s="63" t="inlineStr">
        <is>
          <t>Days</t>
        </is>
      </c>
      <c r="E26" s="63" t="inlineStr">
        <is>
          <t>Share of media</t>
        </is>
      </c>
      <c r="F26" s="63" t="inlineStr">
        <is>
          <t>Media budget</t>
        </is>
      </c>
      <c r="G26" s="63" t="inlineStr">
        <is>
          <t>Per day</t>
        </is>
      </c>
      <c r="H26" s="63" t="inlineStr">
        <is>
          <t>Meta</t>
        </is>
      </c>
      <c r="I26" s="63" t="inlineStr">
        <is>
          <t>LinkedIn</t>
        </is>
      </c>
      <c r="J26" s="63" t="inlineStr">
        <is>
          <t>Google</t>
        </is>
      </c>
      <c r="K26" s="63" t="inlineStr">
        <is>
          <t>What happens</t>
        </is>
      </c>
      <c r="L26" s="63" t="inlineStr">
        <is>
          <t>Condition to move on</t>
        </is>
      </c>
    </row>
    <row r="27">
      <c r="A27" s="67" t="inlineStr">
        <is>
          <t>1. Test</t>
        </is>
      </c>
      <c r="B27" s="123" t="n">
        <v>46304</v>
      </c>
      <c r="C27" s="123" t="n">
        <v>46308</v>
      </c>
      <c r="D27" s="90">
        <f>C27-B27+1</f>
        <v>5.0</v>
      </c>
      <c r="E27" s="77" t="n">
        <v>0.2</v>
      </c>
      <c r="F27" s="81">
        <f>$F$9*E27</f>
        <v>145000.0</v>
      </c>
      <c r="G27" s="81">
        <f>IFERROR(F27/D27,0)</f>
        <v>29000.0</v>
      </c>
      <c r="H27" s="81">
        <f>($F$4+$F$5)*E27</f>
        <v>84800.0</v>
      </c>
      <c r="I27" s="81">
        <f>$F$6*E27</f>
        <v>30000.0</v>
      </c>
      <c r="J27" s="81">
        <f>($F$7+$F$8)*E27</f>
        <v>30200.0</v>
      </c>
      <c r="K27" s="66" t="inlineStr">
        <is>
          <t>12 creatives live. Meta 3 ad sets × 3–4 ads, LinkedIn 2 formats, Google Search + Demand Gen. Find the cheapest hook.</t>
        </is>
      </c>
      <c r="L27" s="66" t="inlineStr">
        <is>
          <t>Meta ≤ ₹700, LinkedIn ≤ ₹2,500, Google ≤ ₹950 per registration. CEO review Tue 13-Oct.</t>
        </is>
      </c>
    </row>
    <row r="28">
      <c r="A28" s="67" t="inlineStr">
        <is>
          <t>2. Scale</t>
        </is>
      </c>
      <c r="B28" s="123" t="n">
        <v>46309</v>
      </c>
      <c r="C28" s="123" t="n">
        <v>46318</v>
      </c>
      <c r="D28" s="90">
        <f>C28-B28+1</f>
        <v>10.0</v>
      </c>
      <c r="E28" s="77" t="n">
        <v>0.68</v>
      </c>
      <c r="F28" s="81">
        <f>$F$9*E28</f>
        <v>493000.00000000006</v>
      </c>
      <c r="G28" s="81">
        <f>IFERROR(F28/D28,0)</f>
        <v>49300.00000000001</v>
      </c>
      <c r="H28" s="81">
        <f>($F$4+$F$5)*E28</f>
        <v>288320.0</v>
      </c>
      <c r="I28" s="81">
        <f>$F$6*E28</f>
        <v>102000.00000000001</v>
      </c>
      <c r="J28" s="81">
        <f>($F$7+$F$8)*E28</f>
        <v>102680.00000000001</v>
      </c>
      <c r="K28" s="66" t="inlineStr">
        <is>
          <t>Money behind winners only. Retargeting on. New creatives on 14, 18 and 21 Oct.</t>
        </is>
      </c>
      <c r="L28" s="66" t="inlineStr">
        <is>
          <t>Every 2 days, move money to the platform with the lowest cost per registration.</t>
        </is>
      </c>
    </row>
    <row r="29">
      <c r="A29" s="67" t="inlineStr">
        <is>
          <t>3. Last call</t>
        </is>
      </c>
      <c r="B29" s="123" t="n">
        <v>46319</v>
      </c>
      <c r="C29" s="123" t="n">
        <v>46321</v>
      </c>
      <c r="D29" s="90">
        <f>C29-B29+1</f>
        <v>3.0</v>
      </c>
      <c r="E29" s="77" t="n">
        <v>0.12</v>
      </c>
      <c r="F29" s="81">
        <f>$F$9*E29</f>
        <v>87000.0</v>
      </c>
      <c r="G29" s="81">
        <f>IFERROR(F29/D29,0)</f>
        <v>29000.0</v>
      </c>
      <c r="H29" s="81">
        <f>($F$4+$F$5)*E29</f>
        <v>50880.0</v>
      </c>
      <c r="I29" s="81">
        <f>$F$6*E29</f>
        <v>18000.0</v>
      </c>
      <c r="J29" s="81">
        <f>($F$7+$F$8)*E29</f>
        <v>18120.0</v>
      </c>
      <c r="K29" s="66" t="inlineStr">
        <is>
          <t>Countdown creatives to retargeting + best cold ads. Stop at 11:59 PM Mon 26-Oct.</t>
        </is>
      </c>
      <c r="L29" s="66" t="inlineStr">
        <is>
          <t>Stop the day before the webinar.</t>
        </is>
      </c>
    </row>
    <row r="30">
      <c r="A30" s="84" t="inlineStr">
        <is>
          <t>Total</t>
        </is>
      </c>
      <c r="B30" s="124">
        <f>B27</f>
        <v>46304.0</v>
      </c>
      <c r="C30" s="124">
        <f>C29</f>
        <v>46321.0</v>
      </c>
      <c r="D30" s="92">
        <f>SUM(D27:D29)</f>
        <v>18.0</v>
      </c>
      <c r="E30" s="93">
        <f>SUM(E27:E29)</f>
        <v>1.0</v>
      </c>
      <c r="F30" s="86">
        <f>SUM(F27:F29)</f>
        <v>725000.0</v>
      </c>
      <c r="G30" s="86">
        <f>IFERROR(F30/D30,0)</f>
        <v>40277.77777777778</v>
      </c>
      <c r="H30" s="86">
        <f>SUM(H27:H29)</f>
        <v>424000.0</v>
      </c>
      <c r="I30" s="86">
        <f>SUM(I27:I29)</f>
        <v>150000.0</v>
      </c>
      <c r="J30" s="86">
        <f>SUM(J27:J29)</f>
        <v>151000.0</v>
      </c>
      <c r="K30" s="84" t="str">
        <f>IF(ROUND(E30,4)=1,"OK","Shares must add to 100%")</f>
        <v>OK</v>
      </c>
      <c r="L30" s="87" t="inlineStr"/>
    </row>
    <row r="31">
      <c r="A31" s="73" t="n"/>
      <c r="B31" s="73" t="n"/>
      <c r="C31" s="73" t="n"/>
      <c r="D31" s="73" t="n"/>
      <c r="E31" s="73" t="n"/>
      <c r="F31" s="73" t="n"/>
      <c r="G31" s="73" t="n"/>
      <c r="H31" s="73" t="n"/>
      <c r="I31" s="73" t="n"/>
      <c r="J31" s="73" t="n"/>
      <c r="K31" s="73" t="n"/>
      <c r="L31" s="73" t="n"/>
    </row>
    <row r="32">
      <c r="A32" s="73" t="n"/>
      <c r="B32" s="73" t="n"/>
      <c r="C32" s="73" t="n"/>
      <c r="D32" s="73" t="n"/>
      <c r="E32" s="73" t="n"/>
      <c r="F32" s="73" t="n"/>
      <c r="G32" s="73" t="n"/>
      <c r="H32" s="73" t="n"/>
      <c r="I32" s="73" t="n"/>
      <c r="J32" s="73" t="n"/>
      <c r="K32" s="73" t="n"/>
      <c r="L32" s="73" t="n"/>
    </row>
    <row r="33">
      <c r="A33" s="73" t="n"/>
      <c r="B33" s="73" t="n"/>
      <c r="C33" s="73" t="n"/>
      <c r="D33" s="73" t="n"/>
      <c r="E33" s="73" t="n"/>
      <c r="F33" s="73" t="n"/>
      <c r="G33" s="73" t="n"/>
      <c r="H33" s="73" t="n"/>
      <c r="I33" s="73" t="n"/>
      <c r="J33" s="73" t="n"/>
      <c r="K33" s="73" t="n"/>
      <c r="L33" s="73" t="n"/>
    </row>
    <row r="34">
      <c r="A34" s="73" t="n"/>
      <c r="B34" s="73" t="n"/>
      <c r="C34" s="73" t="n"/>
      <c r="D34" s="73" t="n"/>
      <c r="E34" s="73" t="n"/>
      <c r="F34" s="73" t="n"/>
      <c r="G34" s="73" t="n"/>
      <c r="H34" s="73" t="n"/>
      <c r="I34" s="73" t="n"/>
      <c r="J34" s="73" t="n"/>
      <c r="K34" s="73" t="n"/>
      <c r="L34" s="73" t="n"/>
    </row>
    <row r="35">
      <c r="A35" s="73" t="n"/>
      <c r="B35" s="73" t="n"/>
      <c r="C35" s="73" t="n"/>
      <c r="D35" s="73" t="n"/>
      <c r="E35" s="73" t="n"/>
      <c r="F35" s="73" t="n"/>
      <c r="G35" s="73" t="n"/>
      <c r="H35" s="73" t="n"/>
      <c r="I35" s="73" t="n"/>
      <c r="J35" s="73" t="n"/>
      <c r="K35" s="73" t="n"/>
      <c r="L35" s="73" t="n"/>
    </row>
    <row r="36">
      <c r="A36" s="73" t="n"/>
      <c r="B36" s="73" t="n"/>
      <c r="C36" s="73" t="n"/>
      <c r="D36" s="73" t="n"/>
      <c r="E36" s="73" t="n"/>
      <c r="F36" s="73" t="n"/>
      <c r="G36" s="73" t="n"/>
      <c r="H36" s="73" t="n"/>
      <c r="I36" s="73" t="n"/>
      <c r="J36" s="73" t="n"/>
      <c r="K36" s="73" t="n"/>
      <c r="L36" s="73" t="n"/>
    </row>
    <row r="37">
      <c r="A37" s="73" t="n"/>
      <c r="B37" s="73" t="n"/>
      <c r="C37" s="73" t="n"/>
      <c r="D37" s="73" t="n"/>
      <c r="E37" s="73" t="n"/>
      <c r="F37" s="73" t="n"/>
      <c r="G37" s="73" t="n"/>
      <c r="H37" s="73" t="n"/>
      <c r="I37" s="73" t="n"/>
      <c r="J37" s="73" t="n"/>
      <c r="K37" s="73" t="n"/>
      <c r="L37" s="73" t="n"/>
    </row>
    <row r="38">
      <c r="A38" s="73" t="n"/>
      <c r="B38" s="73" t="n"/>
      <c r="C38" s="73" t="n"/>
      <c r="D38" s="73" t="n"/>
      <c r="E38" s="73" t="n"/>
      <c r="F38" s="73" t="n"/>
      <c r="G38" s="73" t="n"/>
      <c r="H38" s="73" t="n"/>
      <c r="I38" s="73" t="n"/>
      <c r="J38" s="73" t="n"/>
      <c r="K38" s="73" t="n"/>
      <c r="L38" s="73" t="n"/>
    </row>
    <row r="39">
      <c r="A39" s="73" t="n"/>
      <c r="B39" s="73" t="n"/>
      <c r="C39" s="73" t="n"/>
      <c r="D39" s="73" t="n"/>
      <c r="E39" s="73" t="n"/>
      <c r="F39" s="73" t="n"/>
      <c r="G39" s="73" t="n"/>
      <c r="H39" s="73" t="n"/>
      <c r="I39" s="73" t="n"/>
      <c r="J39" s="73" t="n"/>
      <c r="K39" s="73" t="n"/>
      <c r="L39" s="73" t="n"/>
    </row>
    <row r="40">
      <c r="A40" s="73" t="n"/>
      <c r="B40" s="73" t="n"/>
      <c r="C40" s="73" t="n"/>
      <c r="D40" s="73" t="n"/>
      <c r="E40" s="73" t="n"/>
      <c r="F40" s="73" t="n"/>
      <c r="G40" s="73" t="n"/>
      <c r="H40" s="73" t="n"/>
      <c r="I40" s="73" t="n"/>
      <c r="J40" s="73" t="n"/>
      <c r="K40" s="73" t="n"/>
      <c r="L40" s="73" t="n"/>
    </row>
    <row r="41">
      <c r="A41" s="73" t="n"/>
      <c r="B41" s="73" t="n"/>
      <c r="C41" s="73" t="n"/>
      <c r="D41" s="73" t="n"/>
      <c r="E41" s="73" t="n"/>
      <c r="F41" s="73" t="n"/>
      <c r="G41" s="73" t="n"/>
      <c r="H41" s="73" t="n"/>
      <c r="I41" s="73" t="n"/>
      <c r="J41" s="73" t="n"/>
      <c r="K41" s="73" t="n"/>
      <c r="L41" s="73" t="n"/>
    </row>
    <row r="42">
      <c r="A42" s="73" t="n"/>
      <c r="B42" s="73" t="n"/>
      <c r="C42" s="73" t="n"/>
      <c r="D42" s="73" t="n"/>
      <c r="E42" s="73" t="n"/>
      <c r="F42" s="73" t="n"/>
      <c r="G42" s="73" t="n"/>
      <c r="H42" s="73" t="n"/>
      <c r="I42" s="73" t="n"/>
      <c r="J42" s="73" t="n"/>
      <c r="K42" s="73" t="n"/>
      <c r="L42" s="73" t="n"/>
    </row>
    <row r="43">
      <c r="A43" s="73" t="n"/>
      <c r="B43" s="73" t="n"/>
      <c r="C43" s="73" t="n"/>
      <c r="D43" s="73" t="n"/>
      <c r="E43" s="73" t="n"/>
      <c r="F43" s="73" t="n"/>
      <c r="G43" s="73" t="n"/>
      <c r="H43" s="73" t="n"/>
      <c r="I43" s="73" t="n"/>
      <c r="J43" s="73" t="n"/>
      <c r="K43" s="73" t="n"/>
      <c r="L43" s="73" t="n"/>
    </row>
    <row r="44">
      <c r="A44" s="73" t="n"/>
      <c r="B44" s="73" t="n"/>
      <c r="C44" s="73" t="n"/>
      <c r="D44" s="73" t="n"/>
      <c r="E44" s="73" t="n"/>
      <c r="F44" s="73" t="n"/>
      <c r="G44" s="73" t="n"/>
      <c r="H44" s="73" t="n"/>
      <c r="I44" s="73" t="n"/>
      <c r="J44" s="73" t="n"/>
      <c r="K44" s="73" t="n"/>
      <c r="L44" s="73" t="n"/>
    </row>
    <row r="45">
      <c r="A45" s="73" t="n"/>
      <c r="B45" s="73" t="n"/>
      <c r="C45" s="73" t="n"/>
      <c r="D45" s="73" t="n"/>
      <c r="E45" s="73" t="n"/>
      <c r="F45" s="73" t="n"/>
      <c r="G45" s="73" t="n"/>
      <c r="H45" s="73" t="n"/>
      <c r="I45" s="73" t="n"/>
      <c r="J45" s="73" t="n"/>
      <c r="K45" s="73" t="n"/>
      <c r="L45" s="73" t="n"/>
    </row>
  </sheetData>
  <mergeCells count="37">
    <mergeCell ref="F16:J16"/>
    <mergeCell ref="C9:E9"/>
    <mergeCell ref="B15:E15"/>
    <mergeCell ref="F19:J19"/>
    <mergeCell ref="F6:J6"/>
    <mergeCell ref="B20:E20"/>
    <mergeCell ref="F7:J7"/>
    <mergeCell ref="F3:J3"/>
    <mergeCell ref="F15:J15"/>
    <mergeCell ref="F21:J21"/>
    <mergeCell ref="B10:J10"/>
    <mergeCell ref="F20:J20"/>
    <mergeCell ref="C8:E8"/>
    <mergeCell ref="B16:E16"/>
    <mergeCell ref="F5:J5"/>
    <mergeCell ref="F18:J18"/>
    <mergeCell ref="C7:E7"/>
    <mergeCell ref="F8:J8"/>
    <mergeCell ref="B22:E22"/>
    <mergeCell ref="F17:J17"/>
    <mergeCell ref="B18:E18"/>
    <mergeCell ref="F23:J23"/>
    <mergeCell ref="B21:E21"/>
    <mergeCell ref="C3:E3"/>
    <mergeCell ref="F22:J22"/>
    <mergeCell ref="F13:J13"/>
    <mergeCell ref="C6:E6"/>
    <mergeCell ref="B14:E14"/>
    <mergeCell ref="F9:J9"/>
    <mergeCell ref="B17:E17"/>
    <mergeCell ref="B23:E23"/>
    <mergeCell ref="C5:E5"/>
    <mergeCell ref="B13:E13"/>
    <mergeCell ref="C4:E4"/>
    <mergeCell ref="B19:E19"/>
    <mergeCell ref="F14:J14"/>
    <mergeCell ref="F4:J4"/>
  </mergeCells>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21"/>
  <sheetViews>
    <sheetView showGridLines="0" tabSelected="0" workbookViewId="0">
      <selection activeCell="A1" sqref="A1"/>
    </sheetView>
  </sheetViews>
  <sheetFormatPr baseColWidth="8" defaultRowHeight="15"/>
  <cols>
    <col width="16" customWidth="1" min="1" max="1"/>
    <col width="34" customWidth="1" min="2" max="2"/>
    <col width="56" customWidth="1" min="3" max="3"/>
    <col width="24" customWidth="1" min="4" max="4"/>
    <col width="28" customWidth="1" min="5" max="5"/>
    <col width="12" customWidth="1" min="6" max="6"/>
    <col width="32" customWidth="1" min="7" max="7"/>
    <col width="15" customWidth="1" min="8" max="8"/>
    <col width="12" customWidth="1" min="9" max="9"/>
  </cols>
  <sheetData>
    <row r="1">
      <c r="A1" s="62" t="inlineStr">
        <is>
          <t>Offers: what people get when they register, attend live, or refer a colleague</t>
        </is>
      </c>
    </row>
    <row r="2">
      <c r="A2" s="74" t="inlineStr">
        <is>
          <t>Rule: give something useful instantly at registration, but keep the best rewards for people who attend live. That protects the show-up rate.</t>
        </is>
      </c>
    </row>
    <row r="3">
      <c r="A3" s="63" t="inlineStr">
        <is>
          <t>Stage</t>
        </is>
      </c>
      <c r="B3" s="63" t="inlineStr">
        <is>
          <t>Offer</t>
        </is>
      </c>
      <c r="C3" s="63" t="inlineStr">
        <is>
          <t>Exactly what it is</t>
        </is>
      </c>
      <c r="D3" s="63" t="inlineStr">
        <is>
          <t>Who gets it</t>
        </is>
      </c>
      <c r="E3" s="63" t="inlineStr">
        <is>
          <t>When / how delivered</t>
        </is>
      </c>
      <c r="F3" s="63" t="inlineStr">
        <is>
          <t>Cost (₹)</t>
        </is>
      </c>
      <c r="G3" s="63" t="inlineStr">
        <is>
          <t>What we must prepare</t>
        </is>
      </c>
      <c r="H3" s="63" t="inlineStr">
        <is>
          <t>Owner</t>
        </is>
      </c>
      <c r="I3" s="63" t="inlineStr">
        <is>
          <t>Ready by</t>
        </is>
      </c>
    </row>
    <row r="4">
      <c r="A4" s="67" t="inlineStr">
        <is>
          <t>At registration</t>
        </is>
      </c>
      <c r="B4" s="67" t="inlineStr">
        <is>
          <t>27-point Cloud &amp; Kubernetes Cost Leak Checklist</t>
        </is>
      </c>
      <c r="C4" s="66" t="inlineStr">
        <is>
          <t>PDF + Notion copy. 27 checks across compute, Kubernetes, storage, data transfer and AI/GPU. Each check has the exact CLI command or console path to run it and what 'bad' looks like.</t>
        </is>
      </c>
      <c r="D4" s="66" t="inlineStr">
        <is>
          <t>Everyone who registers</t>
        </is>
      </c>
      <c r="E4" s="66" t="inlineStr">
        <is>
          <t>Instantly on the thank-you page + confirmation email and WhatsApp within 1 minute</t>
        </is>
      </c>
      <c r="F4" s="83" t="n">
        <v>0</v>
      </c>
      <c r="G4" s="66" t="inlineStr">
        <is>
          <t>CTO team writes it (1 day); designer lays out 4 pages</t>
        </is>
      </c>
      <c r="H4" s="66" t="inlineStr">
        <is>
          <t>CTO + designer</t>
        </is>
      </c>
      <c r="I4" s="125" t="n">
        <v>46303</v>
      </c>
    </row>
    <row r="5">
      <c r="A5" s="67" t="inlineStr">
        <is>
          <t>At registration</t>
        </is>
      </c>
      <c r="B5" s="67" t="inlineStr">
        <is>
          <t>Free cloud bill teardown entry</t>
        </is>
      </c>
      <c r="C5" s="66" t="inlineStr">
        <is>
          <t>Optional form field: monthly cloud bill range + top 3 services, or an anonymised screenshot. The CTO tears down 3 of them live. Company names are never shown.</t>
        </is>
      </c>
      <c r="D5" s="66" t="inlineStr">
        <is>
          <t>Everyone who registers (optional)</t>
        </is>
      </c>
      <c r="E5" s="66" t="inlineStr">
        <is>
          <t>Form field; reminder on WhatsApp the next day</t>
        </is>
      </c>
      <c r="F5" s="83" t="n">
        <v>0</v>
      </c>
      <c r="G5" s="66" t="inlineStr">
        <is>
          <t>Form field + anonymising process</t>
        </is>
      </c>
      <c r="H5" s="66" t="inlineStr">
        <is>
          <t>Shourya</t>
        </is>
      </c>
      <c r="I5" s="125" t="n">
        <v>46303</v>
      </c>
    </row>
    <row r="6">
      <c r="A6" s="67" t="inlineStr">
        <is>
          <t>At registration</t>
        </is>
      </c>
      <c r="B6" s="67" t="inlineStr">
        <is>
          <t>Early-bird: AI Cost Guardrails Pack (first 300 registrants)</t>
        </is>
      </c>
      <c r="C6" s="66" t="inlineStr">
        <is>
          <t>Git repo: Kubernetes policies that block pods without resource limits and oversized GPU requests, a Terraform budget-alert module, and a Grafana cost dashboard. Link is unlocked inside the live session.</t>
        </is>
      </c>
      <c r="D6" s="66" t="inlineStr">
        <is>
          <t>First 300 registrants, collected live</t>
        </is>
      </c>
      <c r="E6" s="66" t="inlineStr">
        <is>
          <t>Link shared in the Zoom chat at minute 40</t>
        </is>
      </c>
      <c r="F6" s="83" t="n">
        <v>0</v>
      </c>
      <c r="G6" s="66" t="inlineStr">
        <is>
          <t>CTO team builds the repo (2 days)</t>
        </is>
      </c>
      <c r="H6" s="66" t="inlineStr">
        <is>
          <t>CTO team</t>
        </is>
      </c>
      <c r="I6" s="125" t="n">
        <v>46317</v>
      </c>
    </row>
    <row r="7">
      <c r="A7" s="67" t="inlineStr">
        <is>
          <t>At registration</t>
        </is>
      </c>
      <c r="B7" s="67" t="inlineStr">
        <is>
          <t>'Think Like a CTO' community + early access to episode 2</t>
        </is>
      </c>
      <c r="C7" s="66" t="inlineStr">
        <is>
          <t>WhatsApp community for engineers in the series; first invite to episode 2 (AI Agents for SRE).</t>
        </is>
      </c>
      <c r="D7" s="66" t="inlineStr">
        <is>
          <t>Everyone who registers</t>
        </is>
      </c>
      <c r="E7" s="66" t="inlineStr">
        <is>
          <t>Thank-you page + confirmation message</t>
        </is>
      </c>
      <c r="F7" s="83" t="n">
        <v>0</v>
      </c>
      <c r="G7" s="66" t="inlineStr">
        <is>
          <t>Create WhatsApp community, write rules</t>
        </is>
      </c>
      <c r="H7" s="66" t="inlineStr">
        <is>
          <t>Shourya</t>
        </is>
      </c>
      <c r="I7" s="125" t="n">
        <v>46303</v>
      </c>
    </row>
    <row r="8">
      <c r="A8" s="67" t="inlineStr">
        <is>
          <t>Live session</t>
        </is>
      </c>
      <c r="B8" s="67" t="inlineStr">
        <is>
          <t>Full 5-Leak Playbook (slides + scripts)</t>
        </is>
      </c>
      <c r="C8" s="66" t="inlineStr">
        <is>
          <t>The session slides, the scripts shown live and a one-page action plan.</t>
        </is>
      </c>
      <c r="D8" s="66" t="inlineStr">
        <is>
          <t>Live attendees</t>
        </is>
      </c>
      <c r="E8" s="66" t="inlineStr">
        <is>
          <t>Zoom chat link in the last 10 minutes; email within 24 hours</t>
        </is>
      </c>
      <c r="F8" s="83" t="n">
        <v>0</v>
      </c>
      <c r="G8" s="66" t="inlineStr">
        <is>
          <t>Clean up deck and scripts</t>
        </is>
      </c>
      <c r="H8" s="66" t="inlineStr">
        <is>
          <t>CTO</t>
        </is>
      </c>
      <c r="I8" s="125" t="n">
        <v>46318</v>
      </c>
    </row>
    <row r="9">
      <c r="A9" s="67" t="inlineStr">
        <is>
          <t>Live session</t>
        </is>
      </c>
      <c r="B9" s="67" t="inlineStr">
        <is>
          <t>Certificate of participation, signed by the CTO</t>
        </is>
      </c>
      <c r="C9" s="66" t="inlineStr">
        <is>
          <t>LinkedIn-shareable certificate with the session name, 45 minutes, CTO signature.</t>
        </is>
      </c>
      <c r="D9" s="66" t="inlineStr">
        <is>
          <t>Stayed 35+ minutes (Zoom attendance report)</t>
        </is>
      </c>
      <c r="E9" s="66" t="inlineStr">
        <is>
          <t>Email within 24 hours</t>
        </is>
      </c>
      <c r="F9" s="83" t="n">
        <v>0</v>
      </c>
      <c r="G9" s="66" t="inlineStr">
        <is>
          <t>Canva template + mail merge</t>
        </is>
      </c>
      <c r="H9" s="66" t="inlineStr">
        <is>
          <t>Shourya</t>
        </is>
      </c>
      <c r="I9" s="125" t="n">
        <v>46318</v>
      </c>
    </row>
    <row r="10">
      <c r="A10" s="67" t="inlineStr">
        <is>
          <t>Live session</t>
        </is>
      </c>
      <c r="B10" s="67" t="inlineStr">
        <is>
          <t>Lucky draw: 10 × ₹1,000 + 2 × ₹5,000 vouchers</t>
        </is>
      </c>
      <c r="C10" s="66" t="inlineStr">
        <is>
          <t>A code word is announced at minute 40. People type it into a 1-question form; winners drawn live at minute 44.</t>
        </is>
      </c>
      <c r="D10" s="66" t="inlineStr">
        <is>
          <t>People present at minute 40</t>
        </is>
      </c>
      <c r="E10" s="66" t="inlineStr">
        <is>
          <t>Drawn live; vouchers emailed same day</t>
        </is>
      </c>
      <c r="F10" s="83" t="n">
        <v>20000</v>
      </c>
      <c r="G10" s="66" t="inlineStr">
        <is>
          <t>Buy vouchers; build the 1-question form</t>
        </is>
      </c>
      <c r="H10" s="66" t="inlineStr">
        <is>
          <t>Shourya</t>
        </is>
      </c>
      <c r="I10" s="125" t="n">
        <v>46318</v>
      </c>
    </row>
    <row r="11">
      <c r="A11" s="67" t="inlineStr">
        <is>
          <t>Live session</t>
        </is>
      </c>
      <c r="B11" s="67" t="inlineStr">
        <is>
          <t>Free 30-minute Cloud Cost Review (20 slots)</t>
        </is>
      </c>
      <c r="C11" s="66" t="inlineStr">
        <is>
          <t>A Zarthi engineer reviews the attendee's own setup and gives 3 savings ideas. This is the sales pipeline.</t>
        </is>
      </c>
      <c r="D11" s="66" t="inlineStr">
        <is>
          <t>Live attendees from companies with 50+ staff</t>
        </is>
      </c>
      <c r="E11" s="66" t="inlineStr">
        <is>
          <t>Booking link at the end + thank-you email</t>
        </is>
      </c>
      <c r="F11" s="83" t="n">
        <v>0</v>
      </c>
      <c r="G11" s="66" t="inlineStr">
        <is>
          <t>Booking calendar, 20 slots across 2 weeks</t>
        </is>
      </c>
      <c r="H11" s="66" t="inlineStr">
        <is>
          <t>Sales</t>
        </is>
      </c>
      <c r="I11" s="125" t="n">
        <v>46318</v>
      </c>
    </row>
    <row r="12">
      <c r="A12" s="67" t="inlineStr">
        <is>
          <t>Live session</t>
        </is>
      </c>
      <c r="B12" s="67" t="inlineStr">
        <is>
          <t>Your question answered first</t>
        </is>
      </c>
      <c r="C12" s="66" t="inlineStr">
        <is>
          <t>Questions sent in the registration form go to the top of the Q&amp;A list.</t>
        </is>
      </c>
      <c r="D12" s="66" t="inlineStr">
        <is>
          <t>Registrants who sent a question</t>
        </is>
      </c>
      <c r="E12" s="66" t="inlineStr">
        <is>
          <t>During the live Q&amp;A</t>
        </is>
      </c>
      <c r="F12" s="83" t="n">
        <v>0</v>
      </c>
      <c r="G12" s="66" t="inlineStr">
        <is>
          <t>Moderator sorts questions</t>
        </is>
      </c>
      <c r="H12" s="66" t="inlineStr">
        <is>
          <t>Shourya</t>
        </is>
      </c>
      <c r="I12" s="125" t="n">
        <v>46321</v>
      </c>
    </row>
    <row r="13">
      <c r="A13" s="67" t="inlineStr">
        <is>
          <t>Referral</t>
        </is>
      </c>
      <c r="B13" s="67" t="inlineStr">
        <is>
          <t>Invite 2 teammates → extra lucky draw entry + priority teardown slot</t>
        </is>
      </c>
      <c r="C13" s="66" t="inlineStr">
        <is>
          <t>Unique share link on the thank-you page; tracked via UTM.</t>
        </is>
      </c>
      <c r="D13" s="66" t="inlineStr">
        <is>
          <t>Registrants who invite 2 colleagues</t>
        </is>
      </c>
      <c r="E13" s="66" t="inlineStr">
        <is>
          <t>Thank-you page</t>
        </is>
      </c>
      <c r="F13" s="83" t="n">
        <v>0</v>
      </c>
      <c r="G13" s="66" t="inlineStr">
        <is>
          <t>Share link with UTM per registrant</t>
        </is>
      </c>
      <c r="H13" s="66" t="inlineStr">
        <is>
          <t>Shourya</t>
        </is>
      </c>
      <c r="I13" s="125" t="n">
        <v>46303</v>
      </c>
    </row>
    <row r="14">
      <c r="A14" s="87" t="inlineStr"/>
      <c r="B14" s="84" t="inlineStr">
        <is>
          <t>Total cost of offers</t>
        </is>
      </c>
      <c r="C14" s="87" t="inlineStr"/>
      <c r="D14" s="87" t="inlineStr"/>
      <c r="E14" s="87" t="inlineStr"/>
      <c r="F14" s="86">
        <f>SUM(F4:F13)</f>
        <v>20000.0</v>
      </c>
      <c r="G14" s="87" t="inlineStr"/>
      <c r="H14" s="87" t="inlineStr"/>
      <c r="I14" s="87" t="inlineStr"/>
    </row>
    <row r="16">
      <c r="A16" s="69" t="inlineStr">
        <is>
          <t>How we say it</t>
        </is>
      </c>
    </row>
    <row r="17">
      <c r="A17" s="73" t="inlineStr">
        <is>
          <t>In every ad (headline or support line): "Free 27-point Cost Leak Checklist when you register."</t>
        </is>
      </c>
    </row>
    <row r="18">
      <c r="A18" s="73" t="inlineStr">
        <is>
          <t>In the VSL and landing page: "Join live for the full playbook, a certificate and a ₹5,000 lucky draw. First 300 get the AI Cost Guardrails Pack."</t>
        </is>
      </c>
    </row>
    <row r="19">
      <c r="A19" s="73" t="inlineStr">
        <is>
          <t>In retargeting: "Send your bill question. If it's picked, we tear it down live."</t>
        </is>
      </c>
    </row>
    <row r="20">
      <c r="A20" s="73" t="inlineStr">
        <is>
          <t>Never promise the recording before the webinar: it lowers live attendance. Send it to no-shows afterwards.</t>
        </is>
      </c>
    </row>
    <row r="21">
      <c r="A21" s="73" t="inlineStr">
        <is>
          <t>Lucky draw: state 'no purchase needed, vouchers only, winners announced live' on the form. Check with whoever handles legal before launch.</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M21"/>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0" customWidth="1" min="2" max="2"/>
    <col width="32" customWidth="1" min="3" max="3"/>
    <col width="56" customWidth="1" min="4" max="4"/>
    <col width="26" customWidth="1" min="5" max="5"/>
    <col width="30" customWidth="1" min="6" max="6"/>
    <col width="10" customWidth="1" min="7" max="7"/>
    <col width="12" customWidth="1" min="8" max="8"/>
    <col width="12" customWidth="1" min="9" max="9"/>
    <col width="14" customWidth="1" min="10" max="10"/>
    <col width="13" customWidth="1" min="11" max="11"/>
    <col width="13" customWidth="1" min="12" max="12"/>
    <col width="36" customWidth="1" min="13" max="13"/>
  </cols>
  <sheetData>
    <row r="1">
      <c r="A1" s="62" t="inlineStr">
        <is>
          <t>Ads plan: LinkedIn, Meta and Google (the only ways people find the webinar)</t>
        </is>
      </c>
    </row>
    <row r="2">
      <c r="A2" s="74" t="inlineStr">
        <is>
          <t>Budgets and registrations come from the Budget tab. Ad text is on Ad Copy, videos on Video Scripts, images on Image Ideas.</t>
        </is>
      </c>
    </row>
    <row r="3">
      <c r="A3" s="63" t="inlineStr">
        <is>
          <t>Platform</t>
        </is>
      </c>
      <c r="B3" s="63" t="inlineStr">
        <is>
          <t>Campaign</t>
        </is>
      </c>
      <c r="C3" s="63" t="inlineStr">
        <is>
          <t>Objective and bidding</t>
        </is>
      </c>
      <c r="D3" s="63" t="inlineStr">
        <is>
          <t>Targeting</t>
        </is>
      </c>
      <c r="E3" s="63" t="inlineStr">
        <is>
          <t>Placements</t>
        </is>
      </c>
      <c r="F3" s="63" t="inlineStr">
        <is>
          <t>Creatives (IDs)</t>
        </is>
      </c>
      <c r="G3" s="63" t="inlineStr">
        <is>
          <t>Ads live</t>
        </is>
      </c>
      <c r="H3" s="63" t="inlineStr">
        <is>
          <t>Start</t>
        </is>
      </c>
      <c r="I3" s="63" t="inlineStr">
        <is>
          <t>End</t>
        </is>
      </c>
      <c r="J3" s="63" t="inlineStr">
        <is>
          <t>Media budget</t>
        </is>
      </c>
      <c r="K3" s="63" t="inlineStr">
        <is>
          <t>Per day (avg)</t>
        </is>
      </c>
      <c r="L3" s="63" t="inlineStr">
        <is>
          <t>Registrations</t>
        </is>
      </c>
      <c r="M3" s="63" t="inlineStr">
        <is>
          <t>Refresh / frequency</t>
        </is>
      </c>
    </row>
    <row r="4">
      <c r="A4" s="67" t="inlineStr">
        <is>
          <t>Meta</t>
        </is>
      </c>
      <c r="B4" s="67" t="inlineStr">
        <is>
          <t>M1 Prospecting: Cloud &amp; DevOps interests</t>
        </is>
      </c>
      <c r="C4" s="66" t="inlineStr">
        <is>
          <t>Leads, optimised for the 'Lead' event on the VSL page (lowest cost). Week 1: one ad set also tests an instant form with the VSL.</t>
        </is>
      </c>
      <c r="D4" s="66" t="inlineStr">
        <is>
          <t>India: Bengaluru, Hyderabad, Pune, Delhi-NCR, Chennai, Mumbai + tier-2. Age 24–45. Interests: AWS, Microsoft Azure, Google Cloud, DevOps, Kubernetes, Docker, Terraform, Site reliability engineering, Linux. Exclude: students, job-seeker interests, Zarthi employees.</t>
        </is>
      </c>
      <c r="E4" s="66" t="inlineStr">
        <is>
          <t>FB + IG Feed, Reels, Stories</t>
        </is>
      </c>
      <c r="F4" s="66" t="inlineStr">
        <is>
          <t>V2, V3, V5, S2, C1, M-A/M-B/M-C</t>
        </is>
      </c>
      <c r="G4" s="90" t="n">
        <v>4</v>
      </c>
      <c r="H4" s="125">
        <f>Budget!B27</f>
        <v>46304.0</v>
      </c>
      <c r="I4" s="125">
        <f>Budget!C29</f>
        <v>46321.0</v>
      </c>
      <c r="J4" s="81">
        <f>Budget!F4*0.45</f>
        <v>176400.0</v>
      </c>
      <c r="K4" s="81">
        <f>IFERROR(J4/(I4-H4+1),0)</f>
        <v>9800.0</v>
      </c>
      <c r="L4" s="78">
        <f>ROUND(Budget!B4*0.45,0)</f>
        <v>252.0</v>
      </c>
      <c r="M4" s="66" t="inlineStr">
        <is>
          <t>New creative every 4–5 days. Swap when 7-day frequency &gt; 2.5 or CTR drops 30%.</t>
        </is>
      </c>
    </row>
    <row r="5">
      <c r="A5" s="67" t="inlineStr">
        <is>
          <t>Meta</t>
        </is>
      </c>
      <c r="B5" s="67" t="inlineStr">
        <is>
          <t>M2 Prospecting: Developers</t>
        </is>
      </c>
      <c r="C5" s="66" t="inlineStr">
        <is>
          <t>Same as M1.</t>
        </is>
      </c>
      <c r="D5" s="66" t="inlineStr">
        <is>
          <t>Same cities and age. Interests: GitHub, Stack Overflow, software development, Python, Java, Go, microservices, backend development. Excludes the M1 audience.</t>
        </is>
      </c>
      <c r="E5" s="66" t="inlineStr">
        <is>
          <t>FB + IG Feed, Reels</t>
        </is>
      </c>
      <c r="F5" s="66" t="inlineStr">
        <is>
          <t>V4, V6, S1, S3, C3, M-D/M-E</t>
        </is>
      </c>
      <c r="G5" s="90" t="n">
        <v>4</v>
      </c>
      <c r="H5" s="125">
        <f>Budget!B27</f>
        <v>46304.0</v>
      </c>
      <c r="I5" s="125">
        <f>Budget!C29</f>
        <v>46321.0</v>
      </c>
      <c r="J5" s="81">
        <f>Budget!F4*0.30</f>
        <v>117600.0</v>
      </c>
      <c r="K5" s="81">
        <f>IFERROR(J5/(I5-H5+1),0)</f>
        <v>6533.333333333333</v>
      </c>
      <c r="L5" s="78">
        <f>ROUND(Budget!B4*0.30,0)</f>
        <v>168.0</v>
      </c>
      <c r="M5" s="66" t="inlineStr">
        <is>
          <t>Same as M1.</t>
        </is>
      </c>
    </row>
    <row r="6">
      <c r="A6" s="67" t="inlineStr">
        <is>
          <t>Meta</t>
        </is>
      </c>
      <c r="B6" s="67" t="inlineStr">
        <is>
          <t>M3 Prospecting: Advantage+ broad + lookalike</t>
        </is>
      </c>
      <c r="C6" s="66" t="inlineStr">
        <is>
          <t>Same as M1. Meta finds people like our registrants.</t>
        </is>
      </c>
      <c r="D6" s="66" t="inlineStr">
        <is>
          <t>Advantage+ audience with M1 interests as suggestions. From day 6: 1% lookalike of registrants (seed = first 100+ registrations).</t>
        </is>
      </c>
      <c r="E6" s="66" t="inlineStr">
        <is>
          <t>Advantage+ placements</t>
        </is>
      </c>
      <c r="F6" s="66" t="inlineStr">
        <is>
          <t>Best 3 creatives from M1/M2</t>
        </is>
      </c>
      <c r="G6" s="90" t="n">
        <v>3</v>
      </c>
      <c r="H6" s="125">
        <f>Budget!B27</f>
        <v>46304.0</v>
      </c>
      <c r="I6" s="125">
        <f>Budget!C29</f>
        <v>46321.0</v>
      </c>
      <c r="J6" s="81">
        <f>Budget!F4*0.25</f>
        <v>98000.0</v>
      </c>
      <c r="K6" s="81">
        <f>IFERROR(J6/(I6-H6+1),0)</f>
        <v>5444.444444444444</v>
      </c>
      <c r="L6" s="78">
        <f>Budget!B4-L4-L5</f>
        <v>140.0</v>
      </c>
      <c r="M6" s="66" t="inlineStr">
        <is>
          <t>Fed with winners on 14, 18 and 21 Oct.</t>
        </is>
      </c>
    </row>
    <row r="7">
      <c r="A7" s="67" t="inlineStr">
        <is>
          <t>Meta</t>
        </is>
      </c>
      <c r="B7" s="67" t="inlineStr">
        <is>
          <t>M4 Retargeting</t>
        </is>
      </c>
      <c r="C7" s="66" t="inlineStr">
        <is>
          <t>Leads with a ₹400 cost cap.</t>
        </is>
      </c>
      <c r="D7" s="66" t="inlineStr">
        <is>
          <t>Watched 25%+ of the VSL or any video ad, visited the page but didn't register (14 days), IG/FB engagers. Excludes registrants.</t>
        </is>
      </c>
      <c r="E7" s="66" t="inlineStr">
        <is>
          <t>FB + IG Feed, Stories, Reels</t>
        </is>
      </c>
      <c r="F7" s="66" t="inlineStr">
        <is>
          <t>V1, V10, S4, S5, S6, M-F</t>
        </is>
      </c>
      <c r="G7" s="90" t="n">
        <v>3</v>
      </c>
      <c r="H7" s="125">
        <f>Budget!B28</f>
        <v>46309.0</v>
      </c>
      <c r="I7" s="125">
        <f>Budget!C29</f>
        <v>46321.0</v>
      </c>
      <c r="J7" s="81">
        <f>Budget!F5</f>
        <v>32000.0</v>
      </c>
      <c r="K7" s="81">
        <f>IFERROR(J7/(I7-H7+1),0)</f>
        <v>2461.5384615384614</v>
      </c>
      <c r="L7" s="78">
        <f>Budget!B5</f>
        <v>80.0</v>
      </c>
      <c r="M7" s="66" t="inlineStr">
        <is>
          <t>Countdown creative changes daily in the last 3 days.</t>
        </is>
      </c>
    </row>
    <row r="8">
      <c r="A8" s="67" t="inlineStr">
        <is>
          <t>LinkedIn</t>
        </is>
      </c>
      <c r="B8" s="67" t="inlineStr">
        <is>
          <t>L1 Lead Gen Form + Thought Leader Ads</t>
        </is>
      </c>
      <c r="C8" s="66" t="inlineStr">
        <is>
          <t>Lead generation; manual bidding at the lower end of LinkedIn's suggested range. Half the budget on CTO Thought Leader Ads.</t>
        </is>
      </c>
      <c r="D8" s="66" t="inlineStr">
        <is>
          <t>India. Job titles: DevOps Engineer/Lead, SRE, Cloud Engineer, Platform Engineer, Cloud Architect, Engineering Manager. 3–15 years of experience. Company size 51+. Exclude AWS partners/MSPs and Zarthi employees.</t>
        </is>
      </c>
      <c r="E8" s="66" t="inlineStr">
        <is>
          <t>LinkedIn Feed</t>
        </is>
      </c>
      <c r="F8" s="66" t="inlineStr">
        <is>
          <t>S2, S3, L1, V2, V3, L-A to L-D</t>
        </is>
      </c>
      <c r="G8" s="90" t="n">
        <v>4</v>
      </c>
      <c r="H8" s="125">
        <f>Budget!B27</f>
        <v>46304.0</v>
      </c>
      <c r="I8" s="125">
        <f>Budget!C29</f>
        <v>46321.0</v>
      </c>
      <c r="J8" s="81">
        <f>Budget!F6</f>
        <v>150000.0</v>
      </c>
      <c r="K8" s="81">
        <f>IFERROR(J8/(I8-H8+1),0)</f>
        <v>8333.333333333334</v>
      </c>
      <c r="L8" s="78">
        <f>Budget!B6</f>
        <v>60.0</v>
      </c>
      <c r="M8" s="66" t="inlineStr">
        <is>
          <t>Refresh images weekly; LinkedIn audiences tire fast.</t>
        </is>
      </c>
    </row>
    <row r="9">
      <c r="A9" s="67" t="inlineStr">
        <is>
          <t>Google</t>
        </is>
      </c>
      <c r="B9" s="67" t="inlineStr">
        <is>
          <t>G1 Search</t>
        </is>
      </c>
      <c r="C9" s="66" t="inlineStr">
        <is>
          <t>Search, maximise conversions; switch to target CPA ₹950 after 15 registrations.</t>
        </is>
      </c>
      <c r="D9" s="66" t="inlineStr">
        <is>
          <t>3 ad groups (Ad Copy tab): Kubernetes cost, Cloud cost / FinOps, DevOps / SRE. Phrase + exact match. Negative keywords on the Ad Copy tab.</t>
        </is>
      </c>
      <c r="E9" s="66" t="inlineStr">
        <is>
          <t>Google Search only (no Display)</t>
        </is>
      </c>
      <c r="F9" s="66" t="inlineStr">
        <is>
          <t>G1 responsive search ads + sitelinks</t>
        </is>
      </c>
      <c r="G9" s="90" t="n">
        <v>3</v>
      </c>
      <c r="H9" s="125">
        <f>Budget!B27</f>
        <v>46304.0</v>
      </c>
      <c r="I9" s="125">
        <f>Budget!C29</f>
        <v>46321.0</v>
      </c>
      <c r="J9" s="81">
        <f>Budget!F7</f>
        <v>76000.0</v>
      </c>
      <c r="K9" s="81">
        <f>IFERROR(J9/(I9-H9+1),0)</f>
        <v>4222.222222222223</v>
      </c>
      <c r="L9" s="78">
        <f>Budget!B7</f>
        <v>80.0</v>
      </c>
      <c r="M9" s="66" t="inlineStr">
        <is>
          <t>Check search terms every 2 days; add negatives.</t>
        </is>
      </c>
    </row>
    <row r="10">
      <c r="A10" s="67" t="inlineStr">
        <is>
          <t>Google</t>
        </is>
      </c>
      <c r="B10" s="67" t="inlineStr">
        <is>
          <t>G2 Demand Gen</t>
        </is>
      </c>
      <c r="C10" s="66" t="inlineStr">
        <is>
          <t>Demand Gen, maximise conversions; target CPA ₹750 after 15 registrations.</t>
        </is>
      </c>
      <c r="D10" s="66" t="inlineStr">
        <is>
          <t>India, age 24–45. Custom segments: people who searched Kubernetes cost, AWS bill, FinOps, Terraform, SRE. Lookalike of registrants from day 6.</t>
        </is>
      </c>
      <c r="E10" s="66" t="inlineStr">
        <is>
          <t>Discover, Gmail, YouTube feed + Shorts</t>
        </is>
      </c>
      <c r="F10" s="66" t="inlineStr">
        <is>
          <t>V2, V6, V9, S1, S2, S3, G2</t>
        </is>
      </c>
      <c r="G10" s="90" t="n">
        <v>4</v>
      </c>
      <c r="H10" s="125">
        <f>Budget!B27</f>
        <v>46304.0</v>
      </c>
      <c r="I10" s="125">
        <f>Budget!C29</f>
        <v>46321.0</v>
      </c>
      <c r="J10" s="81">
        <f>Budget!F8</f>
        <v>75000.0</v>
      </c>
      <c r="K10" s="81">
        <f>IFERROR(J10/(I10-H10+1),0)</f>
        <v>4166.666666666667</v>
      </c>
      <c r="L10" s="78">
        <f>Budget!B8</f>
        <v>100.0</v>
      </c>
      <c r="M10" s="66" t="inlineStr">
        <is>
          <t>New images every 5 days; V9 bumper to video viewers from 21-Oct.</t>
        </is>
      </c>
    </row>
    <row r="11">
      <c r="A11" s="84" t="inlineStr">
        <is>
          <t>Total</t>
        </is>
      </c>
      <c r="B11" s="87" t="inlineStr"/>
      <c r="C11" s="87" t="inlineStr"/>
      <c r="D11" s="87" t="inlineStr"/>
      <c r="E11" s="87" t="inlineStr"/>
      <c r="F11" s="87" t="inlineStr"/>
      <c r="G11" s="92">
        <f>SUM(G4:G10)</f>
        <v>25.0</v>
      </c>
      <c r="H11" s="87" t="inlineStr"/>
      <c r="I11" s="87" t="inlineStr"/>
      <c r="J11" s="86">
        <f>SUM(J4:J10)</f>
        <v>725000.0</v>
      </c>
      <c r="K11" s="86">
        <f>SUM(K4:K10)</f>
        <v>40961.53846153846</v>
      </c>
      <c r="L11" s="85">
        <f>SUM(L4:L10)</f>
        <v>880.0</v>
      </c>
      <c r="M11" s="87" t="inlineStr"/>
    </row>
    <row r="12">
      <c r="A12" s="74" t="inlineStr">
        <is>
          <t>M1–M3 split Meta's new-audience budget 45% / 30% / 25%. Totals match the Budget tab.</t>
        </is>
      </c>
    </row>
    <row r="14">
      <c r="A14" s="69" t="inlineStr">
        <is>
          <t>How often we check and change things</t>
        </is>
      </c>
    </row>
    <row r="15">
      <c r="A15" s="63" t="inlineStr">
        <is>
          <t>When</t>
        </is>
      </c>
      <c r="B15" s="63" t="inlineStr">
        <is>
          <t>What</t>
        </is>
      </c>
      <c r="C15" s="65" t="n"/>
      <c r="D15" s="63" t="inlineStr">
        <is>
          <t>Rule</t>
        </is>
      </c>
    </row>
    <row r="16">
      <c r="A16" s="67" t="inlineStr">
        <is>
          <t>Every day, 10 AM</t>
        </is>
      </c>
      <c r="B16" s="66" t="inlineStr">
        <is>
          <t>Check cost per registration, CTR and frequency for every ad</t>
        </is>
      </c>
      <c r="C16" s="65" t="n"/>
      <c r="D16" s="66" t="inlineStr">
        <is>
          <t>Pause any ad above 1.5× its target CPL after spending 2× the target CPL.</t>
        </is>
      </c>
    </row>
    <row r="17">
      <c r="A17" s="67" t="inlineStr">
        <is>
          <t>Every 2 days</t>
        </is>
      </c>
      <c r="B17" s="66" t="inlineStr">
        <is>
          <t>Move money between ad sets and platforms; add Google negatives</t>
        </is>
      </c>
      <c r="C17" s="65" t="n"/>
      <c r="D17" s="66" t="inlineStr">
        <is>
          <t>Money follows the lowest cost per registration.</t>
        </is>
      </c>
    </row>
    <row r="18">
      <c r="A18" s="67" t="inlineStr">
        <is>
          <t>14, 18, 21 Oct</t>
        </is>
      </c>
      <c r="B18" s="66" t="inlineStr">
        <is>
          <t>Add 3 new creatives (new hooks on winning formats)</t>
        </is>
      </c>
      <c r="C18" s="65" t="n"/>
      <c r="D18" s="66" t="inlineStr">
        <is>
          <t>Keep 3–4 ads per ad set; never more than 6.</t>
        </is>
      </c>
    </row>
    <row r="19">
      <c r="A19" s="67" t="inlineStr">
        <is>
          <t>Every Monday</t>
        </is>
      </c>
      <c r="B19" s="66" t="inlineStr">
        <is>
          <t>Registration count, spend and forecast to CEO (12, 19, 26 Oct)</t>
        </is>
      </c>
      <c r="C19" s="65" t="n"/>
      <c r="D19" s="66" t="inlineStr">
        <is>
          <t>Compare with the Daily Plan tab.</t>
        </is>
      </c>
    </row>
    <row r="20">
      <c r="A20" s="67" t="inlineStr">
        <is>
          <t>Tue 13-Oct</t>
        </is>
      </c>
      <c r="B20" s="66" t="inlineStr">
        <is>
          <t>Test review with CEO</t>
        </is>
      </c>
      <c r="C20" s="65" t="n"/>
      <c r="D20" s="66" t="inlineStr">
        <is>
          <t>Release the scale budget only if test gates pass (Budget tab).</t>
        </is>
      </c>
    </row>
    <row r="21">
      <c r="A21" s="67" t="inlineStr">
        <is>
          <t>Sat 24-Oct</t>
        </is>
      </c>
      <c r="B21" s="66" t="inlineStr">
        <is>
          <t>Switch to countdown creatives</t>
        </is>
      </c>
      <c r="C21" s="65" t="n"/>
      <c r="D21" s="66" t="inlineStr">
        <is>
          <t>Retargeting gets 60% of the last-call budget.</t>
        </is>
      </c>
    </row>
  </sheetData>
  <mergeCells count="7">
    <mergeCell ref="B21:C21"/>
    <mergeCell ref="B16:C16"/>
    <mergeCell ref="B15:C15"/>
    <mergeCell ref="B19:C19"/>
    <mergeCell ref="B20:C20"/>
    <mergeCell ref="B17:C17"/>
    <mergeCell ref="B18:C18"/>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G61"/>
  <sheetViews>
    <sheetView showGridLines="0" tabSelected="0" workbookViewId="0">
      <selection activeCell="A1" sqref="A1"/>
    </sheetView>
  </sheetViews>
  <sheetFormatPr baseColWidth="8" defaultRowHeight="15"/>
  <cols>
    <col width="9" customWidth="1" min="1" max="1"/>
    <col width="20" customWidth="1" min="2" max="2"/>
    <col width="70" customWidth="1" min="3" max="3"/>
    <col width="40" customWidth="1" min="4" max="4"/>
    <col width="34" customWidth="1" min="5" max="5"/>
    <col width="12" customWidth="1" min="6" max="6"/>
    <col width="18" customWidth="1" min="7" max="7"/>
  </cols>
  <sheetData>
    <row r="1">
      <c r="A1" s="62" t="inlineStr">
        <is>
          <t>Ad copy: Meta, LinkedIn and Google</t>
        </is>
      </c>
    </row>
    <row r="2">
      <c r="A2" s="74" t="inlineStr">
        <is>
          <t>Character counts are formulas so you can edit and check. Limits: Google headline 30, description 90; Demand Gen headline 40; LinkedIn headline 70.</t>
        </is>
      </c>
    </row>
    <row r="4">
      <c r="A4" s="69" t="inlineStr">
        <is>
          <t>Meta (Facebook + Instagram)</t>
        </is>
      </c>
    </row>
    <row r="5">
      <c r="A5" s="63" t="inlineStr">
        <is>
          <t>ID</t>
        </is>
      </c>
      <c r="B5" s="63" t="inlineStr">
        <is>
          <t>Angle</t>
        </is>
      </c>
      <c r="C5" s="63" t="inlineStr">
        <is>
          <t>Primary text</t>
        </is>
      </c>
      <c r="D5" s="63" t="inlineStr">
        <is>
          <t>Headline</t>
        </is>
      </c>
      <c r="E5" s="63" t="inlineStr">
        <is>
          <t>Description</t>
        </is>
      </c>
      <c r="F5" s="63" t="inlineStr">
        <is>
          <t>Button</t>
        </is>
      </c>
      <c r="G5" s="63" t="inlineStr">
        <is>
          <t>Use with</t>
        </is>
      </c>
    </row>
    <row r="6">
      <c r="A6" s="67" t="inlineStr">
        <is>
          <t>M-A</t>
        </is>
      </c>
      <c r="B6" s="67" t="inlineStr">
        <is>
          <t>Stat</t>
        </is>
      </c>
      <c r="C6" s="66" t="inlineStr">
        <is>
          <t>29% of cloud spend is wasted, and it's rising again (State of FinOps 2026). On 27 Oct our CTO shows the 5 places it leaks in Kubernetes and AI workloads, with a live bill teardown. Free checklist when you register.</t>
        </is>
      </c>
      <c r="D6" s="66" t="inlineStr">
        <is>
          <t>Find the 29% your cloud bill wastes</t>
        </is>
      </c>
      <c r="E6" s="66" t="inlineStr">
        <is>
          <t>Free live session · 27 Oct · 4 PM IST</t>
        </is>
      </c>
      <c r="F6" s="66" t="inlineStr">
        <is>
          <t>Sign up</t>
        </is>
      </c>
      <c r="G6" s="66" t="inlineStr">
        <is>
          <t>V2, S2</t>
        </is>
      </c>
    </row>
    <row r="7">
      <c r="A7" s="67" t="inlineStr">
        <is>
          <t>M-B</t>
        </is>
      </c>
      <c r="B7" s="67" t="inlineStr">
        <is>
          <t>Pain</t>
        </is>
      </c>
      <c r="C7" s="66" t="inlineStr">
        <is>
          <t>Bill up. Traffic flat. And somehow it's the DevOps team's problem. Learn how SREs find idle clusters, oversized pods and idle GPUs, and fix them this sprint.</t>
        </is>
      </c>
      <c r="D7" s="66" t="inlineStr">
        <is>
          <t>Your cloud bill went up again?</t>
        </is>
      </c>
      <c r="E7" s="66" t="inlineStr">
        <is>
          <t>45 min · Free · No sales pitch</t>
        </is>
      </c>
      <c r="F7" s="66" t="inlineStr">
        <is>
          <t>Sign up</t>
        </is>
      </c>
      <c r="G7" s="66" t="inlineStr">
        <is>
          <t>V3, S1</t>
        </is>
      </c>
    </row>
    <row r="8">
      <c r="A8" s="67" t="inlineStr">
        <is>
          <t>M-C</t>
        </is>
      </c>
      <c r="B8" s="67" t="inlineStr">
        <is>
          <t>Curiosity</t>
        </is>
      </c>
      <c r="C8" s="66" t="inlineStr">
        <is>
          <t>3 places your Kubernetes bill leaks. Number 2 surprises almost everyone. Our CTO (ex-Microsoft, 15 yrs) covers all 5 live on 27 Oct.</t>
        </is>
      </c>
      <c r="D8" s="66" t="inlineStr">
        <is>
          <t>3 Kubernetes bill leaks (no. 2!)</t>
        </is>
      </c>
      <c r="E8" s="66" t="inlineStr">
        <is>
          <t>Free CTO session for engineers</t>
        </is>
      </c>
      <c r="F8" s="66" t="inlineStr">
        <is>
          <t>Learn more</t>
        </is>
      </c>
      <c r="G8" s="66" t="inlineStr">
        <is>
          <t>V3, C1</t>
        </is>
      </c>
    </row>
    <row r="9">
      <c r="A9" s="67" t="inlineStr">
        <is>
          <t>M-D</t>
        </is>
      </c>
      <c r="B9" s="67" t="inlineStr">
        <is>
          <t>Offer</t>
        </is>
      </c>
      <c r="C9" s="66" t="inlineStr">
        <is>
          <t>Register free and get our 27-point Cloud &amp; Kubernetes Cost Leak Checklist right away. Join live on 27 Oct for the full playbook, a certificate and a ₹5,000 lucky draw.</t>
        </is>
      </c>
      <c r="D9" s="66" t="inlineStr">
        <is>
          <t>Free 27-point Cost Leak Checklist</t>
        </is>
      </c>
      <c r="E9" s="66" t="inlineStr">
        <is>
          <t>Instant download when you register</t>
        </is>
      </c>
      <c r="F9" s="66" t="inlineStr">
        <is>
          <t>Download</t>
        </is>
      </c>
      <c r="G9" s="66" t="inlineStr">
        <is>
          <t>S4, V1</t>
        </is>
      </c>
    </row>
    <row r="10">
      <c r="A10" s="67" t="inlineStr">
        <is>
          <t>M-E</t>
        </is>
      </c>
      <c r="B10" s="67" t="inlineStr">
        <is>
          <t>Career</t>
        </is>
      </c>
      <c r="C10" s="66" t="inlineStr">
        <is>
          <t>The engineers who get promoted fastest can explain the cloud bill. Learn how a CTO reads one, live on 27 Oct. For SRE, DevOps, cloud and platform engineers.</t>
        </is>
      </c>
      <c r="D10" s="66" t="inlineStr">
        <is>
          <t>Explain the bill. Get the promotion.</t>
        </is>
      </c>
      <c r="E10" s="66" t="inlineStr">
        <is>
          <t>Think Like a CTO · Episode 1</t>
        </is>
      </c>
      <c r="F10" s="66" t="inlineStr">
        <is>
          <t>Sign up</t>
        </is>
      </c>
      <c r="G10" s="66" t="inlineStr">
        <is>
          <t>V4, C3</t>
        </is>
      </c>
    </row>
    <row r="11">
      <c r="A11" s="67" t="inlineStr">
        <is>
          <t>M-F</t>
        </is>
      </c>
      <c r="B11" s="67" t="inlineStr">
        <is>
          <t>Urgency (retargeting)</t>
        </is>
      </c>
      <c r="C11" s="66" t="inlineStr">
        <is>
          <t>Seats are filling for Tuesday's live cloud bill teardown. Send your bill question, and if it's picked, we tear it down live (anonymised).</t>
        </is>
      </c>
      <c r="D11" s="66" t="inlineStr">
        <is>
          <t>Last chance: free bill teardown</t>
        </is>
      </c>
      <c r="E11" s="66" t="inlineStr">
        <is>
          <t>Tue 27 Oct · 4 PM IST</t>
        </is>
      </c>
      <c r="F11" s="66" t="inlineStr">
        <is>
          <t>Sign up</t>
        </is>
      </c>
      <c r="G11" s="66" t="inlineStr">
        <is>
          <t>V10, S5</t>
        </is>
      </c>
    </row>
    <row r="13">
      <c r="A13" s="69" t="inlineStr">
        <is>
          <t>LinkedIn</t>
        </is>
      </c>
    </row>
    <row r="14">
      <c r="A14" s="63" t="inlineStr">
        <is>
          <t>ID</t>
        </is>
      </c>
      <c r="B14" s="63" t="inlineStr">
        <is>
          <t>Angle</t>
        </is>
      </c>
      <c r="C14" s="63" t="inlineStr">
        <is>
          <t>Intro text (keep under 150 characters)</t>
        </is>
      </c>
      <c r="D14" s="63" t="inlineStr">
        <is>
          <t>Headline</t>
        </is>
      </c>
      <c r="E14" s="63" t="inlineStr">
        <is>
          <t>Format</t>
        </is>
      </c>
      <c r="F14" s="63" t="inlineStr">
        <is>
          <t>Button</t>
        </is>
      </c>
      <c r="G14" s="63" t="inlineStr">
        <is>
          <t>Headline chars</t>
        </is>
      </c>
    </row>
    <row r="15">
      <c r="A15" s="67" t="inlineStr">
        <is>
          <t>L-A</t>
        </is>
      </c>
      <c r="B15" s="67" t="inlineStr">
        <is>
          <t>Stat</t>
        </is>
      </c>
      <c r="C15" s="66" t="inlineStr">
        <is>
          <t>29% of cloud spend is wasted. Here's where it hides in Kubernetes and AI workloads. Free live session, 27 Oct.</t>
        </is>
      </c>
      <c r="D15" s="66" t="inlineStr">
        <is>
          <t>AI Is Eating Your Cloud Bill: Free Live Session</t>
        </is>
      </c>
      <c r="E15" s="66" t="inlineStr">
        <is>
          <t>Lead Gen Form + S2</t>
        </is>
      </c>
      <c r="F15" s="66" t="inlineStr">
        <is>
          <t>Register</t>
        </is>
      </c>
      <c r="G15" s="90">
        <f>LEN(D15)</f>
        <v>47.0</v>
      </c>
    </row>
    <row r="16">
      <c r="A16" s="67" t="inlineStr">
        <is>
          <t>L-B</t>
        </is>
      </c>
      <c r="B16" s="67" t="inlineStr">
        <is>
          <t>Teardown</t>
        </is>
      </c>
      <c r="C16" s="66" t="inlineStr">
        <is>
          <t>Send us your cloud bill question. Our CTO will tear down 3 real (anonymised) bills live on 27 Oct.</t>
        </is>
      </c>
      <c r="D16" s="66" t="inlineStr">
        <is>
          <t>Live Cloud Bill Teardown for SRE &amp; DevOps Teams</t>
        </is>
      </c>
      <c r="E16" s="66" t="inlineStr">
        <is>
          <t>Lead Gen Form + S3</t>
        </is>
      </c>
      <c r="F16" s="66" t="inlineStr">
        <is>
          <t>Register</t>
        </is>
      </c>
      <c r="G16" s="90">
        <f>LEN(D16)</f>
        <v>47.0</v>
      </c>
    </row>
    <row r="17">
      <c r="A17" s="67" t="inlineStr">
        <is>
          <t>L-C</t>
        </is>
      </c>
      <c r="B17" s="67" t="inlineStr">
        <is>
          <t>Checklist</t>
        </is>
      </c>
      <c r="C17" s="66" t="inlineStr">
        <is>
          <t>Free 27-point Cost Leak Checklist for Kubernetes, storage, data transfer and GPUs. Instant access when you register.</t>
        </is>
      </c>
      <c r="D17" s="66" t="inlineStr">
        <is>
          <t>Get the 27-Point Cloud Cost Leak Checklist</t>
        </is>
      </c>
      <c r="E17" s="66" t="inlineStr">
        <is>
          <t>Document ad L1</t>
        </is>
      </c>
      <c r="F17" s="66" t="inlineStr">
        <is>
          <t>Download</t>
        </is>
      </c>
      <c r="G17" s="90">
        <f>LEN(D17)</f>
        <v>42.0</v>
      </c>
    </row>
    <row r="18">
      <c r="A18" s="67" t="inlineStr">
        <is>
          <t>L-D</t>
        </is>
      </c>
      <c r="B18" s="67" t="inlineStr">
        <is>
          <t>Thought Leader (CTO post)</t>
        </is>
      </c>
      <c r="C18" s="66" t="inlineStr">
        <is>
          <t>I review cloud bills every week. The same 5 leaks show up almost every time. I'm walking through all 5 live on 27 Oct.</t>
        </is>
      </c>
      <c r="D18" s="66" t="inlineStr">
        <is>
          <t>Join my free session on cloud cost leaks</t>
        </is>
      </c>
      <c r="E18" s="66" t="inlineStr">
        <is>
          <t>CTO's own post, promoted</t>
        </is>
      </c>
      <c r="F18" s="66" t="inlineStr">
        <is>
          <t>Register</t>
        </is>
      </c>
      <c r="G18" s="90">
        <f>LEN(D18)</f>
        <v>40.0</v>
      </c>
    </row>
    <row r="20">
      <c r="A20" s="69" t="inlineStr">
        <is>
          <t>Google Search: ad groups and keywords</t>
        </is>
      </c>
    </row>
    <row r="21">
      <c r="A21" s="63" t="inlineStr">
        <is>
          <t>#</t>
        </is>
      </c>
      <c r="B21" s="63" t="inlineStr">
        <is>
          <t>Ad group</t>
        </is>
      </c>
      <c r="C21" s="63" t="inlineStr">
        <is>
          <t>Keywords ("phrase", [exact])</t>
        </is>
      </c>
      <c r="D21" s="63" t="inlineStr"/>
      <c r="E21" s="63" t="inlineStr"/>
      <c r="F21" s="63" t="inlineStr"/>
      <c r="G21" s="63" t="inlineStr"/>
    </row>
    <row r="22">
      <c r="A22" s="67" t="n">
        <v>1</v>
      </c>
      <c r="B22" s="67" t="inlineStr">
        <is>
          <t>Kubernetes cost</t>
        </is>
      </c>
      <c r="C22" s="66" t="inlineStr">
        <is>
          <t>"kubernetes cost optimization", "reduce kubernetes cost", [kubernetes cost management], "eks cost optimization", "aks cost optimization"</t>
        </is>
      </c>
      <c r="D22" s="64" t="n"/>
      <c r="E22" s="64" t="n"/>
      <c r="F22" s="64" t="n"/>
      <c r="G22" s="65" t="n"/>
    </row>
    <row r="23">
      <c r="A23" s="67" t="n">
        <v>2</v>
      </c>
      <c r="B23" s="67" t="inlineStr">
        <is>
          <t>Cloud cost / FinOps</t>
        </is>
      </c>
      <c r="C23" s="66" t="inlineStr">
        <is>
          <t>"cloud cost optimization", "reduce aws bill", "aws cost optimization", "finops for ai", "gpu cost optimization"</t>
        </is>
      </c>
      <c r="D23" s="64" t="n"/>
      <c r="E23" s="64" t="n"/>
      <c r="F23" s="64" t="n"/>
      <c r="G23" s="65" t="n"/>
    </row>
    <row r="24">
      <c r="A24" s="67" t="n">
        <v>3</v>
      </c>
      <c r="B24" s="67" t="inlineStr">
        <is>
          <t>DevOps / SRE</t>
        </is>
      </c>
      <c r="C24" s="66" t="inlineStr">
        <is>
          <t>"devops webinar", "sre webinar", "platform engineering webinar", "devops best practices 2026"</t>
        </is>
      </c>
      <c r="D24" s="64" t="n"/>
      <c r="E24" s="64" t="n"/>
      <c r="F24" s="64" t="n"/>
      <c r="G24" s="65" t="n"/>
    </row>
    <row r="25">
      <c r="A25" s="67" t="inlineStr"/>
      <c r="B25" s="67" t="inlineStr">
        <is>
          <t>Negative keywords</t>
        </is>
      </c>
      <c r="C25" s="66" t="inlineStr">
        <is>
          <t>jobs, job, salary, hiring, course, certification, training, institute, interview, internship, tutorial pdf, free download, udemy, coursera, fresher</t>
        </is>
      </c>
      <c r="D25" s="64" t="n"/>
      <c r="E25" s="64" t="n"/>
      <c r="F25" s="64" t="n"/>
      <c r="G25" s="65" t="n"/>
    </row>
    <row r="27">
      <c r="A27" s="69" t="inlineStr">
        <is>
          <t>Google Search: responsive search ad (shared by all 3 ad groups; put the ad-group keyword in headline 1)</t>
        </is>
      </c>
    </row>
    <row r="28">
      <c r="A28" s="63" t="inlineStr">
        <is>
          <t>#</t>
        </is>
      </c>
      <c r="B28" s="63" t="inlineStr">
        <is>
          <t>Type</t>
        </is>
      </c>
      <c r="C28" s="63" t="inlineStr">
        <is>
          <t>Text</t>
        </is>
      </c>
      <c r="D28" s="63" t="inlineStr">
        <is>
          <t>Chars</t>
        </is>
      </c>
      <c r="E28" s="63" t="inlineStr">
        <is>
          <t>Limit</t>
        </is>
      </c>
      <c r="F28" s="63" t="inlineStr">
        <is>
          <t>OK?</t>
        </is>
      </c>
      <c r="G28" s="63" t="inlineStr"/>
    </row>
    <row r="29">
      <c r="A29" s="66" t="n">
        <v>1</v>
      </c>
      <c r="B29" s="67" t="inlineStr">
        <is>
          <t>Headline</t>
        </is>
      </c>
      <c r="C29" s="66" t="inlineStr">
        <is>
          <t>Cut Kubernetes Costs</t>
        </is>
      </c>
      <c r="D29" s="90">
        <f>LEN(C29)</f>
        <v>20.0</v>
      </c>
      <c r="E29" s="90" t="n">
        <v>30</v>
      </c>
      <c r="F29" s="66" t="str">
        <f>IF(D29&lt;=E29,"OK","Too long")</f>
        <v>OK</v>
      </c>
    </row>
    <row r="30">
      <c r="A30" s="66" t="n">
        <v>2</v>
      </c>
      <c r="B30" s="67" t="inlineStr">
        <is>
          <t>Headline</t>
        </is>
      </c>
      <c r="C30" s="66" t="inlineStr">
        <is>
          <t>Free Live CTO Session</t>
        </is>
      </c>
      <c r="D30" s="90">
        <f>LEN(C30)</f>
        <v>21.0</v>
      </c>
      <c r="E30" s="90" t="n">
        <v>30</v>
      </c>
      <c r="F30" s="66" t="str">
        <f>IF(D30&lt;=E30,"OK","Too long")</f>
        <v>OK</v>
      </c>
    </row>
    <row r="31">
      <c r="A31" s="66" t="n">
        <v>3</v>
      </c>
      <c r="B31" s="67" t="inlineStr">
        <is>
          <t>Headline</t>
        </is>
      </c>
      <c r="C31" s="66" t="inlineStr">
        <is>
          <t>AI Is Eating Your Cloud Bill</t>
        </is>
      </c>
      <c r="D31" s="90">
        <f>LEN(C31)</f>
        <v>28.0</v>
      </c>
      <c r="E31" s="90" t="n">
        <v>30</v>
      </c>
      <c r="F31" s="66" t="str">
        <f>IF(D31&lt;=E31,"OK","Too long")</f>
        <v>OK</v>
      </c>
    </row>
    <row r="32">
      <c r="A32" s="66" t="n">
        <v>4</v>
      </c>
      <c r="B32" s="67" t="inlineStr">
        <is>
          <t>Headline</t>
        </is>
      </c>
      <c r="C32" s="66" t="inlineStr">
        <is>
          <t>Live Cloud Bill Teardown</t>
        </is>
      </c>
      <c r="D32" s="90">
        <f>LEN(C32)</f>
        <v>24.0</v>
      </c>
      <c r="E32" s="90" t="n">
        <v>30</v>
      </c>
      <c r="F32" s="66" t="str">
        <f>IF(D32&lt;=E32,"OK","Too long")</f>
        <v>OK</v>
      </c>
    </row>
    <row r="33">
      <c r="A33" s="66" t="n">
        <v>5</v>
      </c>
      <c r="B33" s="67" t="inlineStr">
        <is>
          <t>Headline</t>
        </is>
      </c>
      <c r="C33" s="66" t="inlineStr">
        <is>
          <t>For SRE &amp; DevOps Engineers</t>
        </is>
      </c>
      <c r="D33" s="90">
        <f>LEN(C33)</f>
        <v>26.0</v>
      </c>
      <c r="E33" s="90" t="n">
        <v>30</v>
      </c>
      <c r="F33" s="66" t="str">
        <f>IF(D33&lt;=E33,"OK","Too long")</f>
        <v>OK</v>
      </c>
    </row>
    <row r="34">
      <c r="A34" s="66" t="n">
        <v>6</v>
      </c>
      <c r="B34" s="67" t="inlineStr">
        <is>
          <t>Headline</t>
        </is>
      </c>
      <c r="C34" s="66" t="inlineStr">
        <is>
          <t>29% of Cloud Spend Is Wasted</t>
        </is>
      </c>
      <c r="D34" s="90">
        <f>LEN(C34)</f>
        <v>28.0</v>
      </c>
      <c r="E34" s="90" t="n">
        <v>30</v>
      </c>
      <c r="F34" s="66" t="str">
        <f>IF(D34&lt;=E34,"OK","Too long")</f>
        <v>OK</v>
      </c>
    </row>
    <row r="35">
      <c r="A35" s="66" t="n">
        <v>7</v>
      </c>
      <c r="B35" s="67" t="inlineStr">
        <is>
          <t>Headline</t>
        </is>
      </c>
      <c r="C35" s="66" t="inlineStr">
        <is>
          <t>Find 5 Hidden Cost Leaks</t>
        </is>
      </c>
      <c r="D35" s="90">
        <f>LEN(C35)</f>
        <v>24.0</v>
      </c>
      <c r="E35" s="90" t="n">
        <v>30</v>
      </c>
      <c r="F35" s="66" t="str">
        <f>IF(D35&lt;=E35,"OK","Too long")</f>
        <v>OK</v>
      </c>
    </row>
    <row r="36">
      <c r="A36" s="66" t="n">
        <v>8</v>
      </c>
      <c r="B36" s="67" t="inlineStr">
        <is>
          <t>Headline</t>
        </is>
      </c>
      <c r="C36" s="66" t="inlineStr">
        <is>
          <t>Free 27-Point Checklist</t>
        </is>
      </c>
      <c r="D36" s="90">
        <f>LEN(C36)</f>
        <v>23.0</v>
      </c>
      <c r="E36" s="90" t="n">
        <v>30</v>
      </c>
      <c r="F36" s="66" t="str">
        <f>IF(D36&lt;=E36,"OK","Too long")</f>
        <v>OK</v>
      </c>
    </row>
    <row r="37">
      <c r="A37" s="66" t="n">
        <v>9</v>
      </c>
      <c r="B37" s="67" t="inlineStr">
        <is>
          <t>Headline</t>
        </is>
      </c>
      <c r="C37" s="66" t="inlineStr">
        <is>
          <t>Tue 27 Oct, 4 PM IST</t>
        </is>
      </c>
      <c r="D37" s="90">
        <f>LEN(C37)</f>
        <v>20.0</v>
      </c>
      <c r="E37" s="90" t="n">
        <v>30</v>
      </c>
      <c r="F37" s="66" t="str">
        <f>IF(D37&lt;=E37,"OK","Too long")</f>
        <v>OK</v>
      </c>
    </row>
    <row r="38">
      <c r="A38" s="66" t="n">
        <v>10</v>
      </c>
      <c r="B38" s="67" t="inlineStr">
        <is>
          <t>Headline</t>
        </is>
      </c>
      <c r="C38" s="66" t="inlineStr">
        <is>
          <t>No Sales Pitch, No Demo</t>
        </is>
      </c>
      <c r="D38" s="90">
        <f>LEN(C38)</f>
        <v>23.0</v>
      </c>
      <c r="E38" s="90" t="n">
        <v>30</v>
      </c>
      <c r="F38" s="66" t="str">
        <f>IF(D38&lt;=E38,"OK","Too long")</f>
        <v>OK</v>
      </c>
    </row>
    <row r="39">
      <c r="A39" s="66" t="n">
        <v>11</v>
      </c>
      <c r="B39" s="67" t="inlineStr">
        <is>
          <t>Headline</t>
        </is>
      </c>
      <c r="C39" s="66" t="inlineStr">
        <is>
          <t>Ex-Microsoft CTO Explains</t>
        </is>
      </c>
      <c r="D39" s="90">
        <f>LEN(C39)</f>
        <v>25.0</v>
      </c>
      <c r="E39" s="90" t="n">
        <v>30</v>
      </c>
      <c r="F39" s="66" t="str">
        <f>IF(D39&lt;=E39,"OK","Too long")</f>
        <v>OK</v>
      </c>
    </row>
    <row r="40">
      <c r="A40" s="66" t="n">
        <v>12</v>
      </c>
      <c r="B40" s="67" t="inlineStr">
        <is>
          <t>Headline</t>
        </is>
      </c>
      <c r="C40" s="66" t="inlineStr">
        <is>
          <t>Cut GPU &amp; AI Costs</t>
        </is>
      </c>
      <c r="D40" s="90">
        <f>LEN(C40)</f>
        <v>18.0</v>
      </c>
      <c r="E40" s="90" t="n">
        <v>30</v>
      </c>
      <c r="F40" s="66" t="str">
        <f>IF(D40&lt;=E40,"OK","Too long")</f>
        <v>OK</v>
      </c>
    </row>
    <row r="41">
      <c r="A41" s="66" t="n">
        <v>13</v>
      </c>
      <c r="B41" s="67" t="inlineStr">
        <is>
          <t>Headline</t>
        </is>
      </c>
      <c r="C41" s="66" t="inlineStr">
        <is>
          <t>Rightsize Pods the Easy Way</t>
        </is>
      </c>
      <c r="D41" s="90">
        <f>LEN(C41)</f>
        <v>27.0</v>
      </c>
      <c r="E41" s="90" t="n">
        <v>30</v>
      </c>
      <c r="F41" s="66" t="str">
        <f>IF(D41&lt;=E41,"OK","Too long")</f>
        <v>OK</v>
      </c>
    </row>
    <row r="42">
      <c r="A42" s="66" t="n">
        <v>14</v>
      </c>
      <c r="B42" s="67" t="inlineStr">
        <is>
          <t>Headline</t>
        </is>
      </c>
      <c r="C42" s="66" t="inlineStr">
        <is>
          <t>45 Minutes, Free</t>
        </is>
      </c>
      <c r="D42" s="90">
        <f>LEN(C42)</f>
        <v>16.0</v>
      </c>
      <c r="E42" s="90" t="n">
        <v>30</v>
      </c>
      <c r="F42" s="66" t="str">
        <f>IF(D42&lt;=E42,"OK","Too long")</f>
        <v>OK</v>
      </c>
    </row>
    <row r="43">
      <c r="A43" s="66" t="n">
        <v>15</v>
      </c>
      <c r="B43" s="67" t="inlineStr">
        <is>
          <t>Headline</t>
        </is>
      </c>
      <c r="C43" s="66" t="inlineStr">
        <is>
          <t>Register Free Today</t>
        </is>
      </c>
      <c r="D43" s="90">
        <f>LEN(C43)</f>
        <v>19.0</v>
      </c>
      <c r="E43" s="90" t="n">
        <v>30</v>
      </c>
      <c r="F43" s="66" t="str">
        <f>IF(D43&lt;=E43,"OK","Too long")</f>
        <v>OK</v>
      </c>
    </row>
    <row r="44">
      <c r="A44" s="66" t="n">
        <v>1</v>
      </c>
      <c r="B44" s="67" t="inlineStr">
        <is>
          <t>Description</t>
        </is>
      </c>
      <c r="C44" s="66" t="inlineStr">
        <is>
          <t>See where cloud money leaks in Kubernetes and AI workloads, and how to fix it this sprint.</t>
        </is>
      </c>
      <c r="D44" s="90">
        <f>LEN(C44)</f>
        <v>90.0</v>
      </c>
      <c r="E44" s="90" t="n">
        <v>90</v>
      </c>
      <c r="F44" s="66" t="str">
        <f>IF(D44&lt;=E44,"OK","Too long")</f>
        <v>OK</v>
      </c>
    </row>
    <row r="45">
      <c r="A45" s="66" t="n">
        <v>2</v>
      </c>
      <c r="B45" s="67" t="inlineStr">
        <is>
          <t>Description</t>
        </is>
      </c>
      <c r="C45" s="66" t="inlineStr">
        <is>
          <t>Free 45-min session for SRE, DevOps and cloud engineers. Real cloud bills torn down live.</t>
        </is>
      </c>
      <c r="D45" s="90">
        <f>LEN(C45)</f>
        <v>89.0</v>
      </c>
      <c r="E45" s="90" t="n">
        <v>90</v>
      </c>
      <c r="F45" s="66" t="str">
        <f>IF(D45&lt;=E45,"OK","Too long")</f>
        <v>OK</v>
      </c>
    </row>
    <row r="46">
      <c r="A46" s="66" t="n">
        <v>3</v>
      </c>
      <c r="B46" s="67" t="inlineStr">
        <is>
          <t>Description</t>
        </is>
      </c>
      <c r="C46" s="66" t="inlineStr">
        <is>
          <t>Register free and get the 27-point Cloud &amp; Kubernetes Cost Leak Checklist instantly.</t>
        </is>
      </c>
      <c r="D46" s="90">
        <f>LEN(C46)</f>
        <v>84.0</v>
      </c>
      <c r="E46" s="90" t="n">
        <v>90</v>
      </c>
      <c r="F46" s="66" t="str">
        <f>IF(D46&lt;=E46,"OK","Too long")</f>
        <v>OK</v>
      </c>
    </row>
    <row r="47">
      <c r="A47" s="66" t="n">
        <v>4</v>
      </c>
      <c r="B47" s="67" t="inlineStr">
        <is>
          <t>Description</t>
        </is>
      </c>
      <c r="C47" s="66" t="inlineStr">
        <is>
          <t>Join live for the full playbook, a certificate and a chance to win ₹5,000 vouchers.</t>
        </is>
      </c>
      <c r="D47" s="90">
        <f>LEN(C47)</f>
        <v>83.0</v>
      </c>
      <c r="E47" s="90" t="n">
        <v>90</v>
      </c>
      <c r="F47" s="66" t="str">
        <f>IF(D47&lt;=E47,"OK","Too long")</f>
        <v>OK</v>
      </c>
    </row>
    <row r="48">
      <c r="A48" s="66" t="inlineStr"/>
      <c r="B48" s="67" t="inlineStr">
        <is>
          <t>Sitelinks</t>
        </is>
      </c>
      <c r="C48" s="66" t="inlineStr">
        <is>
          <t>Agenda · Speakers · Free Checklist · Register</t>
        </is>
      </c>
    </row>
    <row r="50">
      <c r="A50" s="69" t="inlineStr">
        <is>
          <t>Google Demand Gen</t>
        </is>
      </c>
    </row>
    <row r="51">
      <c r="A51" s="63" t="inlineStr">
        <is>
          <t>#</t>
        </is>
      </c>
      <c r="B51" s="63" t="inlineStr">
        <is>
          <t>Type</t>
        </is>
      </c>
      <c r="C51" s="63" t="inlineStr">
        <is>
          <t>Text</t>
        </is>
      </c>
      <c r="D51" s="63" t="inlineStr">
        <is>
          <t>Chars</t>
        </is>
      </c>
      <c r="E51" s="63" t="inlineStr">
        <is>
          <t>Limit</t>
        </is>
      </c>
      <c r="F51" s="63" t="inlineStr">
        <is>
          <t>OK?</t>
        </is>
      </c>
      <c r="G51" s="63" t="inlineStr"/>
    </row>
    <row r="52">
      <c r="A52" s="66" t="n">
        <v>1</v>
      </c>
      <c r="B52" s="67" t="inlineStr">
        <is>
          <t>Headline</t>
        </is>
      </c>
      <c r="C52" s="66" t="inlineStr">
        <is>
          <t>AI Is Eating Your Cloud Bill</t>
        </is>
      </c>
      <c r="D52" s="90">
        <f>LEN(C52)</f>
        <v>28.0</v>
      </c>
      <c r="E52" s="90" t="n">
        <v>40</v>
      </c>
      <c r="F52" s="66" t="str">
        <f>IF(D52&lt;=E52,"OK","Too long")</f>
        <v>OK</v>
      </c>
    </row>
    <row r="53">
      <c r="A53" s="66" t="n">
        <v>2</v>
      </c>
      <c r="B53" s="67" t="inlineStr">
        <is>
          <t>Headline</t>
        </is>
      </c>
      <c r="C53" s="66" t="inlineStr">
        <is>
          <t>Find the 29% Your Cloud Wastes</t>
        </is>
      </c>
      <c r="D53" s="90">
        <f>LEN(C53)</f>
        <v>30.0</v>
      </c>
      <c r="E53" s="90" t="n">
        <v>40</v>
      </c>
      <c r="F53" s="66" t="str">
        <f>IF(D53&lt;=E53,"OK","Too long")</f>
        <v>OK</v>
      </c>
    </row>
    <row r="54">
      <c r="A54" s="66" t="n">
        <v>3</v>
      </c>
      <c r="B54" s="67" t="inlineStr">
        <is>
          <t>Headline</t>
        </is>
      </c>
      <c r="C54" s="66" t="inlineStr">
        <is>
          <t>Free Live Cloud Bill Teardown</t>
        </is>
      </c>
      <c r="D54" s="90">
        <f>LEN(C54)</f>
        <v>29.0</v>
      </c>
      <c r="E54" s="90" t="n">
        <v>40</v>
      </c>
      <c r="F54" s="66" t="str">
        <f>IF(D54&lt;=E54,"OK","Too long")</f>
        <v>OK</v>
      </c>
    </row>
    <row r="55">
      <c r="A55" s="66" t="n">
        <v>4</v>
      </c>
      <c r="B55" s="67" t="inlineStr">
        <is>
          <t>Headline</t>
        </is>
      </c>
      <c r="C55" s="66" t="inlineStr">
        <is>
          <t>5 Kubernetes Cost Leaks, Fixed</t>
        </is>
      </c>
      <c r="D55" s="90">
        <f>LEN(C55)</f>
        <v>30.0</v>
      </c>
      <c r="E55" s="90" t="n">
        <v>40</v>
      </c>
      <c r="F55" s="66" t="str">
        <f>IF(D55&lt;=E55,"OK","Too long")</f>
        <v>OK</v>
      </c>
    </row>
    <row r="56">
      <c r="A56" s="66" t="n">
        <v>5</v>
      </c>
      <c r="B56" s="67" t="inlineStr">
        <is>
          <t>Headline</t>
        </is>
      </c>
      <c r="C56" s="66" t="inlineStr">
        <is>
          <t>Free CTO Session for Engineers</t>
        </is>
      </c>
      <c r="D56" s="90">
        <f>LEN(C56)</f>
        <v>30.0</v>
      </c>
      <c r="E56" s="90" t="n">
        <v>40</v>
      </c>
      <c r="F56" s="66" t="str">
        <f>IF(D56&lt;=E56,"OK","Too long")</f>
        <v>OK</v>
      </c>
    </row>
    <row r="57">
      <c r="A57" s="66" t="n">
        <v>1</v>
      </c>
      <c r="B57" s="67" t="inlineStr">
        <is>
          <t>Description</t>
        </is>
      </c>
      <c r="C57" s="66" t="inlineStr">
        <is>
          <t>29% of cloud spend is wasted. See where it hides in Kubernetes and AI. Free, 27 Oct.</t>
        </is>
      </c>
      <c r="D57" s="90">
        <f>LEN(C57)</f>
        <v>84.0</v>
      </c>
      <c r="E57" s="90" t="n">
        <v>90</v>
      </c>
      <c r="F57" s="66" t="str">
        <f>IF(D57&lt;=E57,"OK","Too long")</f>
        <v>OK</v>
      </c>
    </row>
    <row r="58">
      <c r="A58" s="66" t="n">
        <v>2</v>
      </c>
      <c r="B58" s="67" t="inlineStr">
        <is>
          <t>Description</t>
        </is>
      </c>
      <c r="C58" s="66" t="inlineStr">
        <is>
          <t>Free 27-point Cost Leak Checklist when you register. Live session Tue 27 Oct, 4 PM IST.</t>
        </is>
      </c>
      <c r="D58" s="90">
        <f>LEN(C58)</f>
        <v>87.0</v>
      </c>
      <c r="E58" s="90" t="n">
        <v>90</v>
      </c>
      <c r="F58" s="66" t="str">
        <f>IF(D58&lt;=E58,"OK","Too long")</f>
        <v>OK</v>
      </c>
    </row>
    <row r="59">
      <c r="A59" s="66" t="n">
        <v>3</v>
      </c>
      <c r="B59" s="67" t="inlineStr">
        <is>
          <t>Description</t>
        </is>
      </c>
      <c r="C59" s="66" t="inlineStr">
        <is>
          <t>For SRE, DevOps and cloud engineers. 45 min, no sales pitch, real bills torn down live.</t>
        </is>
      </c>
      <c r="D59" s="90">
        <f>LEN(C59)</f>
        <v>87.0</v>
      </c>
      <c r="E59" s="90" t="n">
        <v>90</v>
      </c>
      <c r="F59" s="66" t="str">
        <f>IF(D59&lt;=E59,"OK","Too long")</f>
        <v>OK</v>
      </c>
    </row>
    <row r="61">
      <c r="A61" s="74" t="inlineStr">
        <is>
          <t>Rules for every ad: speaker face in the first second, the date in the ad, 'Free' visible, no Zarthi product claims, the 29% figure always credited to State of FinOps 2026.</t>
        </is>
      </c>
    </row>
  </sheetData>
  <mergeCells count="4">
    <mergeCell ref="C22:G22"/>
    <mergeCell ref="C24:G24"/>
    <mergeCell ref="C25:G25"/>
    <mergeCell ref="C23:G23"/>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E50"/>
  <sheetViews>
    <sheetView showGridLines="0" tabSelected="0" workbookViewId="0">
      <pane ySplit="3" topLeftCell="A4" activePane="bottomLeft" state="frozen"/>
      <selection pane="bottomLeft" activeCell="A1" sqref="A1"/>
    </sheetView>
  </sheetViews>
  <sheetFormatPr baseColWidth="8" defaultRowHeight="15"/>
  <cols>
    <col width="7" customWidth="1" min="1" max="1"/>
    <col width="11" customWidth="1" min="2" max="2"/>
    <col width="40" customWidth="1" min="3" max="3"/>
    <col width="70" customWidth="1" min="4" max="4"/>
    <col width="36" customWidth="1" min="5" max="5"/>
  </cols>
  <sheetData>
    <row r="1">
      <c r="A1" s="62" t="inlineStr">
        <is>
          <t>Video scripts: every video, scene by scene</t>
        </is>
      </c>
    </row>
    <row r="2">
      <c r="A2" s="74" t="inlineStr">
        <is>
          <t>One 2-hour shoot (Mon 5 or Tue 6 Oct) covers V1–V4, V6 and V8. Add burned-in captions to every video. [CTO name] = replace with the real name.</t>
        </is>
      </c>
    </row>
    <row r="3">
      <c r="A3" s="63" t="inlineStr">
        <is>
          <t>Video</t>
        </is>
      </c>
      <c r="B3" s="63" t="inlineStr">
        <is>
          <t>Time</t>
        </is>
      </c>
      <c r="C3" s="63" t="inlineStr">
        <is>
          <t>Shot / visual</t>
        </is>
      </c>
      <c r="D3" s="63" t="inlineStr">
        <is>
          <t>Voiceover (exact words)</t>
        </is>
      </c>
      <c r="E3" s="63" t="inlineStr">
        <is>
          <t>On-screen text</t>
        </is>
      </c>
    </row>
    <row r="4">
      <c r="A4" s="95" t="inlineStr">
        <is>
          <t>V1: Main VSL, 3–3.5 min, 16:9 (landing page)</t>
        </is>
      </c>
      <c r="B4" s="95" t="n"/>
      <c r="C4" s="95" t="n"/>
      <c r="D4" s="95" t="n"/>
      <c r="E4" s="95" t="n"/>
    </row>
    <row r="5">
      <c r="A5" s="67" t="inlineStr">
        <is>
          <t>V1</t>
        </is>
      </c>
      <c r="B5" s="66" t="inlineStr">
        <is>
          <t>0:00–0:10</t>
        </is>
      </c>
      <c r="C5" s="66" t="inlineStr">
        <is>
          <t>CTO close-up, office background. Cut-in: a monthly cost graph rising.</t>
        </is>
      </c>
      <c r="D5" s="66" t="inlineStr">
        <is>
          <t>Your cloud bill went up again this month. Traffic didn't. Somewhere in your clusters, money is leaking, and in most teams nobody owns finding it.</t>
        </is>
      </c>
      <c r="E5" s="66" t="inlineStr">
        <is>
          <t>Bill ↑. Traffic →. (example)</t>
        </is>
      </c>
    </row>
    <row r="6">
      <c r="A6" s="67" t="inlineStr">
        <is>
          <t>V1</t>
        </is>
      </c>
      <c r="B6" s="66" t="inlineStr">
        <is>
          <t>0:10–0:35</t>
        </is>
      </c>
      <c r="C6" s="66" t="inlineStr">
        <is>
          <t>B-roll: Kubernetes dashboard, GPU usage graph, Slack message 'why is AWS so high?'</t>
        </is>
      </c>
      <c r="D6" s="66" t="inlineStr">
        <is>
          <t>In 2026 it's getting worse. AI workloads, GPUs, idle dev clusters, oversized nodes. The State of FinOps report found 29% of cloud spend is wasted, and it went up for the first time in five years. And when finance asks why, they don't ask the vendor. They ask the SRE and DevOps team.</t>
        </is>
      </c>
      <c r="E6" s="66" t="inlineStr">
        <is>
          <t>29% of cloud spend is wasted (State of FinOps 2026)</t>
        </is>
      </c>
    </row>
    <row r="7">
      <c r="A7" s="67" t="inlineStr">
        <is>
          <t>V1</t>
        </is>
      </c>
      <c r="B7" s="66" t="inlineStr">
        <is>
          <t>0:35–1:05</t>
        </is>
      </c>
      <c r="C7" s="66" t="inlineStr">
        <is>
          <t>CTO introduces himself; quick cut to CEO.</t>
        </is>
      </c>
      <c r="D7" s="66" t="inlineStr">
        <is>
          <t>I'm [CTO name], CTO at Zarthi. I've spent 15 years building cloud platforms, including at Microsoft. My team reviews cloud setups for Indian product companies every week, and the same five leaks show up almost every time. CEO: That's why we started Think Like a CTO: free sessions for engineers who want to make the calls, not just close the tickets.</t>
        </is>
      </c>
      <c r="E7" s="66" t="inlineStr">
        <is>
          <t>[CTO name] · CTO, Zarthi · ex-Microsoft</t>
        </is>
      </c>
    </row>
    <row r="8">
      <c r="A8" s="67" t="inlineStr">
        <is>
          <t>V1</t>
        </is>
      </c>
      <c r="B8" s="66" t="inlineStr">
        <is>
          <t>1:05–1:50</t>
        </is>
      </c>
      <c r="C8" s="66" t="inlineStr">
        <is>
          <t>Screen recording: 'kubectl top pods' next to the requests in a deployment YAML; requests highlighted in red.</t>
        </is>
      </c>
      <c r="D8" s="66" t="inlineStr">
        <is>
          <t>Let me give you leak number one right now. Idle and oversized compute. Pull the CPU and memory requests for your top ten workloads and compare them with what they actually use. If requests are double the usage, you're paying for air. Fix it with rightsizing and autoscaling. That's one of five.</t>
        </is>
      </c>
      <c r="E8" s="66" t="inlineStr">
        <is>
          <t>Leak #1: requests ≫ usage = paying for air</t>
        </is>
      </c>
    </row>
    <row r="9">
      <c r="A9" s="67" t="inlineStr">
        <is>
          <t>V1</t>
        </is>
      </c>
      <c r="B9" s="66" t="inlineStr">
        <is>
          <t>1:50–2:30</t>
        </is>
      </c>
      <c r="C9" s="66" t="inlineStr">
        <is>
          <t>CTO on camera; graphics pop in for each benefit.</t>
        </is>
      </c>
      <c r="D9" s="66" t="inlineStr">
        <is>
          <t>On Tuesday, 27 October at 4 PM, I'll walk through all five leaks, including GPU and AI inference costs, and tear down real, anonymised cloud bills that you send in. You get the 27-point Cost Leak Checklist the moment you register. Join live and you also get the full playbook, a certificate, and a chance to win vouchers. The first 300 people also get our AI Cost Guardrails Pack.</t>
        </is>
      </c>
      <c r="E9" s="66" t="inlineStr">
        <is>
          <t>Free checklist now · Playbook + certificate + lucky draw live</t>
        </is>
      </c>
    </row>
    <row r="10">
      <c r="A10" s="67" t="inlineStr">
        <is>
          <t>V1</t>
        </is>
      </c>
      <c r="B10" s="66" t="inlineStr">
        <is>
          <t>2:30–2:55</t>
        </is>
      </c>
      <c r="C10" s="66" t="inlineStr">
        <is>
          <t>CTO, two-column 'For / Not for' graphic.</t>
        </is>
      </c>
      <c r="D10" s="66" t="inlineStr">
        <is>
          <t>This is for SREs, DevOps, platform and cloud engineers, and developers who run things on AWS, Azure or GCP. It's not a beginner course, and it's not a sales pitch. There's no product demo.</t>
        </is>
      </c>
      <c r="E10" s="66" t="inlineStr">
        <is>
          <t>For: SRE · DevOps · Platform · Cloud · Developers</t>
        </is>
      </c>
    </row>
    <row r="11">
      <c r="A11" s="67" t="inlineStr">
        <is>
          <t>V1</t>
        </is>
      </c>
      <c r="B11" s="66" t="inlineStr">
        <is>
          <t>2:55–3:20</t>
        </is>
      </c>
      <c r="C11" s="66" t="inlineStr">
        <is>
          <t>CTO points down; date card; form appears below the video.</t>
        </is>
      </c>
      <c r="D11" s="66" t="inlineStr">
        <is>
          <t>Forty-five minutes. Free. Register below, and add your cloud bill question in the form. If yours is picked, we tear it down live. See you on the 27th.</t>
        </is>
      </c>
      <c r="E11" s="66" t="inlineStr">
        <is>
          <t>Tue 27 Oct · 4 PM IST · Free · Register below ↓</t>
        </is>
      </c>
    </row>
    <row r="12">
      <c r="A12" s="95" t="inlineStr">
        <is>
          <t>V2: 60-second cut, 16:9 / 1:1 / 9:16 (Google Demand Gen, LinkedIn, Meta)</t>
        </is>
      </c>
      <c r="B12" s="95" t="n"/>
      <c r="C12" s="95" t="n"/>
      <c r="D12" s="95" t="n"/>
      <c r="E12" s="95" t="n"/>
    </row>
    <row r="13">
      <c r="A13" s="67" t="inlineStr">
        <is>
          <t>V2</t>
        </is>
      </c>
      <c r="B13" s="66" t="inlineStr">
        <is>
          <t>0:00–0:05</t>
        </is>
      </c>
      <c r="C13" s="66" t="inlineStr">
        <is>
          <t>CTO close-up, bold caption.</t>
        </is>
      </c>
      <c r="D13" s="66" t="inlineStr">
        <is>
          <t>29% of cloud spend is wasted. Here's where it hides in Kubernetes.</t>
        </is>
      </c>
      <c r="E13" s="66" t="inlineStr">
        <is>
          <t>29% wasted</t>
        </is>
      </c>
    </row>
    <row r="14">
      <c r="A14" s="67" t="inlineStr">
        <is>
          <t>V2</t>
        </is>
      </c>
      <c r="B14" s="66" t="inlineStr">
        <is>
          <t>0:05–0:20</t>
        </is>
      </c>
      <c r="C14" s="66" t="inlineStr">
        <is>
          <t>B-roll of dashboards; CTO voice.</t>
        </is>
      </c>
      <c r="D14" s="66" t="inlineStr">
        <is>
          <t>Idle dev clusters. Pods asking for twice the CPU they use. GPUs sitting at 10%. And the bill lands on the SRE and DevOps team.</t>
        </is>
      </c>
      <c r="E14" s="66" t="inlineStr">
        <is>
          <t>Idle clusters · Oversized pods · Idle GPUs</t>
        </is>
      </c>
    </row>
    <row r="15">
      <c r="A15" s="67" t="inlineStr">
        <is>
          <t>V2</t>
        </is>
      </c>
      <c r="B15" s="66" t="inlineStr">
        <is>
          <t>0:20–0:40</t>
        </is>
      </c>
      <c r="C15" s="66" t="inlineStr">
        <is>
          <t>Screen: kubectl top vs YAML requests.</t>
        </is>
      </c>
      <c r="D15" s="66" t="inlineStr">
        <is>
          <t>Quick check: compare requests with real usage for your top ten workloads. Double? You're paying for air.</t>
        </is>
      </c>
      <c r="E15" s="66" t="inlineStr">
        <is>
          <t>Requests vs usage: check yours</t>
        </is>
      </c>
    </row>
    <row r="16">
      <c r="A16" s="67" t="inlineStr">
        <is>
          <t>V2</t>
        </is>
      </c>
      <c r="B16" s="66" t="inlineStr">
        <is>
          <t>0:40–0:55</t>
        </is>
      </c>
      <c r="C16" s="66" t="inlineStr">
        <is>
          <t>CTO; benefit graphics.</t>
        </is>
      </c>
      <c r="D16" s="66" t="inlineStr">
        <is>
          <t>On 27 October I'll show all five leaks and tear down real bills live. Register and get our 27-point Cost Leak Checklist free.</t>
        </is>
      </c>
      <c r="E16" s="66" t="inlineStr">
        <is>
          <t>Free checklist on sign-up</t>
        </is>
      </c>
    </row>
    <row r="17">
      <c r="A17" s="67" t="inlineStr">
        <is>
          <t>V2</t>
        </is>
      </c>
      <c r="B17" s="66" t="inlineStr">
        <is>
          <t>0:55–1:00</t>
        </is>
      </c>
      <c r="C17" s="66" t="inlineStr">
        <is>
          <t>End card with date and button.</t>
        </is>
      </c>
      <c r="D17" s="66" t="inlineStr">
        <is>
          <t>Free, 45 minutes. Link below.</t>
        </is>
      </c>
      <c r="E17" s="66" t="inlineStr">
        <is>
          <t>Tue 27 Oct · 4 PM · Register</t>
        </is>
      </c>
    </row>
    <row r="18">
      <c r="A18" s="95" t="inlineStr">
        <is>
          <t>V3: CTO talking head, 30 s, 9:16 + 4:5 (Meta, LinkedIn)</t>
        </is>
      </c>
      <c r="B18" s="95" t="n"/>
      <c r="C18" s="95" t="n"/>
      <c r="D18" s="95" t="n"/>
      <c r="E18" s="95" t="n"/>
    </row>
    <row r="19">
      <c r="A19" s="67" t="inlineStr">
        <is>
          <t>V3</t>
        </is>
      </c>
      <c r="B19" s="66" t="inlineStr">
        <is>
          <t>0:00–0:03</t>
        </is>
      </c>
      <c r="C19" s="66" t="inlineStr">
        <is>
          <t>CTO, phone camera, eye level.</t>
        </is>
      </c>
      <c r="D19" s="66" t="inlineStr">
        <is>
          <t>Three places your Kubernetes bill leaks. Number two surprises everyone.</t>
        </is>
      </c>
      <c r="E19" s="66" t="inlineStr">
        <is>
          <t>3 Kubernetes bill leaks</t>
        </is>
      </c>
    </row>
    <row r="20">
      <c r="A20" s="67" t="inlineStr">
        <is>
          <t>V3</t>
        </is>
      </c>
      <c r="B20" s="66" t="inlineStr">
        <is>
          <t>0:03–0:12</t>
        </is>
      </c>
      <c r="C20" s="66" t="inlineStr">
        <is>
          <t>CTO counts on fingers.</t>
        </is>
      </c>
      <c r="D20" s="66" t="inlineStr">
        <is>
          <t>One: pods asking for far more CPU than they use. Two: logs. Teams spend more storing debug logs than running the app.</t>
        </is>
      </c>
      <c r="E20" s="66" t="inlineStr">
        <is>
          <t>1. Oversized pods  2. Log storage</t>
        </is>
      </c>
    </row>
    <row r="21">
      <c r="A21" s="67" t="inlineStr">
        <is>
          <t>V3</t>
        </is>
      </c>
      <c r="B21" s="66" t="inlineStr">
        <is>
          <t>0:12–0:22</t>
        </is>
      </c>
      <c r="C21" s="66" t="inlineStr">
        <is>
          <t>CTO.</t>
        </is>
      </c>
      <c r="D21" s="66" t="inlineStr">
        <is>
          <t>Three: dev and staging clusters running all night and every weekend.</t>
        </is>
      </c>
      <c r="E21" s="66" t="inlineStr">
        <is>
          <t>3. Clusters that never sleep</t>
        </is>
      </c>
    </row>
    <row r="22">
      <c r="A22" s="67" t="inlineStr">
        <is>
          <t>V3</t>
        </is>
      </c>
      <c r="B22" s="66" t="inlineStr">
        <is>
          <t>0:22–0:30</t>
        </is>
      </c>
      <c r="C22" s="66" t="inlineStr">
        <is>
          <t>CTO points to caption.</t>
        </is>
      </c>
      <c r="D22" s="66" t="inlineStr">
        <is>
          <t>I'll show the other two, and the fixes, live on the 27th. Free. Link below.</t>
        </is>
      </c>
      <c r="E22" s="66" t="inlineStr">
        <is>
          <t>Free live session · 27 Oct · 4 PM</t>
        </is>
      </c>
    </row>
    <row r="23">
      <c r="A23" s="95" t="inlineStr">
        <is>
          <t>V4: CEO talking head, 30 s, 4:5 + 1:1 (Meta, LinkedIn)</t>
        </is>
      </c>
      <c r="B23" s="95" t="n"/>
      <c r="C23" s="95" t="n"/>
      <c r="D23" s="95" t="n"/>
      <c r="E23" s="95" t="n"/>
    </row>
    <row r="24">
      <c r="A24" s="67" t="inlineStr">
        <is>
          <t>V4</t>
        </is>
      </c>
      <c r="B24" s="66" t="inlineStr">
        <is>
          <t>0:00–0:04</t>
        </is>
      </c>
      <c r="C24" s="66" t="inlineStr">
        <is>
          <t>CEO, office.</t>
        </is>
      </c>
      <c r="D24" s="66" t="inlineStr">
        <is>
          <t>The engineers who get promoted fastest can explain the cloud bill.</t>
        </is>
      </c>
      <c r="E24" s="66" t="inlineStr">
        <is>
          <t>Can you explain your cloud bill?</t>
        </is>
      </c>
    </row>
    <row r="25">
      <c r="A25" s="67" t="inlineStr">
        <is>
          <t>V4</t>
        </is>
      </c>
      <c r="B25" s="66" t="inlineStr">
        <is>
          <t>0:04–0:18</t>
        </is>
      </c>
      <c r="C25" s="66" t="inlineStr">
        <is>
          <t>CEO.</t>
        </is>
      </c>
      <c r="D25" s="66" t="inlineStr">
        <is>
          <t>Not because they're accountants. Because when the bill jumps, the CTO needs someone who knows which service, which team, and which fix. That person gets trusted with bigger decisions.</t>
        </is>
      </c>
      <c r="E25" s="66" t="inlineStr">
        <is>
          <t>Cost = a leadership skill</t>
        </is>
      </c>
    </row>
    <row r="26">
      <c r="A26" s="67" t="inlineStr">
        <is>
          <t>V4</t>
        </is>
      </c>
      <c r="B26" s="66" t="inlineStr">
        <is>
          <t>0:18–0:30</t>
        </is>
      </c>
      <c r="C26" s="66" t="inlineStr">
        <is>
          <t>CEO; date card.</t>
        </is>
      </c>
      <c r="D26" s="66" t="inlineStr">
        <is>
          <t>Our CTO is teaching exactly that, free, on 27 October. SREs, DevOps and cloud engineers: register below.</t>
        </is>
      </c>
      <c r="E26" s="66" t="inlineStr">
        <is>
          <t>Free · 27 Oct · 4 PM IST</t>
        </is>
      </c>
    </row>
    <row r="27">
      <c r="A27" s="95" t="inlineStr">
        <is>
          <t>V5: Myth vs fact reel, 15 s, 9:16 (Meta Reels/Stories)</t>
        </is>
      </c>
      <c r="B27" s="95" t="n"/>
      <c r="C27" s="95" t="n"/>
      <c r="D27" s="95" t="n"/>
      <c r="E27" s="95" t="n"/>
    </row>
    <row r="28">
      <c r="A28" s="67" t="inlineStr">
        <is>
          <t>V5</t>
        </is>
      </c>
      <c r="B28" s="66" t="inlineStr">
        <is>
          <t>0:00–0:04</t>
        </is>
      </c>
      <c r="C28" s="66" t="inlineStr">
        <is>
          <t>Big text on a dark background, beat-synced.</t>
        </is>
      </c>
      <c r="D28" s="66" t="inlineStr">
        <is>
          <t>(music only)</t>
        </is>
      </c>
      <c r="E28" s="66" t="inlineStr">
        <is>
          <t>MYTH: Autoscaling saves money.</t>
        </is>
      </c>
    </row>
    <row r="29">
      <c r="A29" s="67" t="inlineStr">
        <is>
          <t>V5</t>
        </is>
      </c>
      <c r="B29" s="66" t="inlineStr">
        <is>
          <t>0:04–0:09</t>
        </is>
      </c>
      <c r="C29" s="66" t="inlineStr">
        <is>
          <t>Text card + screenshot of a node pool.</t>
        </is>
      </c>
      <c r="D29" s="66" t="inlineStr">
        <is>
          <t>(music only)</t>
        </is>
      </c>
      <c r="E29" s="66" t="inlineStr">
        <is>
          <t>FACT: Autoscaling on oversized requests scales the waste too.</t>
        </is>
      </c>
    </row>
    <row r="30">
      <c r="A30" s="67" t="inlineStr">
        <is>
          <t>V5</t>
        </is>
      </c>
      <c r="B30" s="66" t="inlineStr">
        <is>
          <t>0:09–0:15</t>
        </is>
      </c>
      <c r="C30" s="66" t="inlineStr">
        <is>
          <t>Speaker faces + date.</t>
        </is>
      </c>
      <c r="D30" s="66" t="inlineStr">
        <is>
          <t>(music only)</t>
        </is>
      </c>
      <c r="E30" s="66" t="inlineStr">
        <is>
          <t>5 leaks + live bill teardown · Free · 27 Oct · Register</t>
        </is>
      </c>
    </row>
    <row r="31">
      <c r="A31" s="95" t="inlineStr">
        <is>
          <t>V6: Whiteboard explainer, 45 s, 9:16 + 16:9</t>
        </is>
      </c>
      <c r="B31" s="95" t="n"/>
      <c r="C31" s="95" t="n"/>
      <c r="D31" s="95" t="n"/>
      <c r="E31" s="95" t="n"/>
    </row>
    <row r="32">
      <c r="A32" s="67" t="inlineStr">
        <is>
          <t>V6</t>
        </is>
      </c>
      <c r="B32" s="66" t="inlineStr">
        <is>
          <t>0:00–0:05</t>
        </is>
      </c>
      <c r="C32" s="66" t="inlineStr">
        <is>
          <t>CTO at a whiteboard, writes ₹100.</t>
        </is>
      </c>
      <c r="D32" s="66" t="inlineStr">
        <is>
          <t>Follow 100 rupees of cloud spend and watch 29 disappear.</t>
        </is>
      </c>
      <c r="E32" s="66" t="inlineStr">
        <is>
          <t>Where does ₹100 go?</t>
        </is>
      </c>
    </row>
    <row r="33">
      <c r="A33" s="67" t="inlineStr">
        <is>
          <t>V6</t>
        </is>
      </c>
      <c r="B33" s="66" t="inlineStr">
        <is>
          <t>0:05–0:30</t>
        </is>
      </c>
      <c r="C33" s="66" t="inlineStr">
        <is>
          <t>CTO draws boxes: compute, storage, data transfer, AI/GPU; crosses out parts.</t>
        </is>
      </c>
      <c r="D33" s="66" t="inlineStr">
        <is>
          <t>Compute you reserved but don't use. Storage nobody deleted. Data moving between zones for no reason. GPUs waiting for jobs. Add it up: about 29 rupees of every 100.</t>
        </is>
      </c>
      <c r="E33" s="66" t="inlineStr">
        <is>
          <t>Unused compute · Old storage · Cross-zone traffic · Idle GPUs</t>
        </is>
      </c>
    </row>
    <row r="34">
      <c r="A34" s="67" t="inlineStr">
        <is>
          <t>V6</t>
        </is>
      </c>
      <c r="B34" s="66" t="inlineStr">
        <is>
          <t>0:30–0:45</t>
        </is>
      </c>
      <c r="C34" s="66" t="inlineStr">
        <is>
          <t>CTO caps the marker.</t>
        </is>
      </c>
      <c r="D34" s="66" t="inlineStr">
        <is>
          <t>On 27 October I'll show how to find each one in your own account, and fix it. Free. Register below.</t>
        </is>
      </c>
      <c r="E34" s="66" t="inlineStr">
        <is>
          <t>Free · 27 Oct · 4 PM IST</t>
        </is>
      </c>
    </row>
    <row r="35">
      <c r="A35" s="95" t="inlineStr">
        <is>
          <t>V7: Engineer POV, 25 s, 9:16 (Meta Reels). Use only if the story is true; change the numbers to the real ones.</t>
        </is>
      </c>
      <c r="B35" s="95" t="n"/>
      <c r="C35" s="95" t="n"/>
      <c r="D35" s="95" t="n"/>
      <c r="E35" s="95" t="n"/>
    </row>
    <row r="36">
      <c r="A36" s="67" t="inlineStr">
        <is>
          <t>V7</t>
        </is>
      </c>
      <c r="B36" s="66" t="inlineStr">
        <is>
          <t>0:00–0:04</t>
        </is>
      </c>
      <c r="C36" s="66" t="inlineStr">
        <is>
          <t>Zarthi engineer, selfie, natural light.</t>
        </is>
      </c>
      <c r="D36" s="66" t="inlineStr">
        <is>
          <t>Our staging clusters ran all night. Nobody used them after 8 PM.</t>
        </is>
      </c>
      <c r="E36" s="66" t="inlineStr">
        <is>
          <t>Staging, running 24/7</t>
        </is>
      </c>
    </row>
    <row r="37">
      <c r="A37" s="67" t="inlineStr">
        <is>
          <t>V7</t>
        </is>
      </c>
      <c r="B37" s="66" t="inlineStr">
        <is>
          <t>0:04–0:16</t>
        </is>
      </c>
      <c r="C37" s="66" t="inlineStr">
        <is>
          <t>Engineer; screen of a cron schedule.</t>
        </is>
      </c>
      <c r="D37" s="66" t="inlineStr">
        <is>
          <t>One scheduled scale-down at night and on weekends. Our staging bill dropped by about a third the next month.</t>
        </is>
      </c>
      <c r="E37" s="66" t="inlineStr">
        <is>
          <t>1 schedule → staging bill ↓ (use real number)</t>
        </is>
      </c>
    </row>
    <row r="38">
      <c r="A38" s="67" t="inlineStr">
        <is>
          <t>V7</t>
        </is>
      </c>
      <c r="B38" s="66" t="inlineStr">
        <is>
          <t>0:16–0:25</t>
        </is>
      </c>
      <c r="C38" s="66" t="inlineStr">
        <is>
          <t>Engineer.</t>
        </is>
      </c>
      <c r="D38" s="66" t="inlineStr">
        <is>
          <t>Our CTO is sharing five fixes like this live on the 27th. It's free. Link below.</t>
        </is>
      </c>
      <c r="E38" s="66" t="inlineStr">
        <is>
          <t>Free live session · 27 Oct</t>
        </is>
      </c>
    </row>
    <row r="39">
      <c r="A39" s="95" t="inlineStr">
        <is>
          <t>V8: CEO + CTO podcast clip, 40 s, 1:1 + 9:16</t>
        </is>
      </c>
      <c r="B39" s="95" t="n"/>
      <c r="C39" s="95" t="n"/>
      <c r="D39" s="95" t="n"/>
      <c r="E39" s="95" t="n"/>
    </row>
    <row r="40">
      <c r="A40" s="67" t="inlineStr">
        <is>
          <t>V8</t>
        </is>
      </c>
      <c r="B40" s="66" t="inlineStr">
        <is>
          <t>0:00–0:05</t>
        </is>
      </c>
      <c r="C40" s="66" t="inlineStr">
        <is>
          <t>Two-shot, mics visible.</t>
        </is>
      </c>
      <c r="D40" s="66" t="inlineStr">
        <is>
          <t>CEO: Who owns the cloud bill in most teams?</t>
        </is>
      </c>
      <c r="E40" s="66" t="inlineStr">
        <is>
          <t>Who owns the cloud bill?</t>
        </is>
      </c>
    </row>
    <row r="41">
      <c r="A41" s="67" t="inlineStr">
        <is>
          <t>V8</t>
        </is>
      </c>
      <c r="B41" s="66" t="inlineStr">
        <is>
          <t>0:05–0:25</t>
        </is>
      </c>
      <c r="C41" s="66" t="inlineStr">
        <is>
          <t>Close-up CTO.</t>
        </is>
      </c>
      <c r="D41" s="66" t="inlineStr">
        <is>
          <t>CTO: Honestly? Nobody, until it doubles. Then it's suddenly the DevOps team's problem. The fix isn't a tool. It's making cost visible per team, with guardrails so nobody can launch a 64-core pod by accident.</t>
        </is>
      </c>
      <c r="E41" s="66" t="inlineStr">
        <is>
          <t>Make cost visible · Add guardrails</t>
        </is>
      </c>
    </row>
    <row r="42">
      <c r="A42" s="67" t="inlineStr">
        <is>
          <t>V8</t>
        </is>
      </c>
      <c r="B42" s="66" t="inlineStr">
        <is>
          <t>0:25–0:40</t>
        </is>
      </c>
      <c r="C42" s="66" t="inlineStr">
        <is>
          <t>Two-shot, date card.</t>
        </is>
      </c>
      <c r="D42" s="66" t="inlineStr">
        <is>
          <t>CEO: We're going deep on this live on the 27th. CTO: Bring your bill. We'll tear it down.</t>
        </is>
      </c>
      <c r="E42" s="66" t="inlineStr">
        <is>
          <t>Free · 27 Oct · 4 PM IST</t>
        </is>
      </c>
    </row>
    <row r="43">
      <c r="A43" s="95" t="inlineStr">
        <is>
          <t>V9: Bumper, 6 s, 16:9 (Google Demand Gen video)</t>
        </is>
      </c>
      <c r="B43" s="95" t="n"/>
      <c r="C43" s="95" t="n"/>
      <c r="D43" s="95" t="n"/>
      <c r="E43" s="95" t="n"/>
    </row>
    <row r="44">
      <c r="A44" s="67" t="inlineStr">
        <is>
          <t>V9</t>
        </is>
      </c>
      <c r="B44" s="66" t="inlineStr">
        <is>
          <t>0:00–0:06</t>
        </is>
      </c>
      <c r="C44" s="66" t="inlineStr">
        <is>
          <t>CTO face, bold text, logo bottom corner.</t>
        </is>
      </c>
      <c r="D44" s="66" t="inlineStr">
        <is>
          <t>Cut your cloud bill. Free CTO session, 27 October.</t>
        </is>
      </c>
      <c r="E44" s="66" t="inlineStr">
        <is>
          <t>Free CTO session · 27 Oct · Register</t>
        </is>
      </c>
    </row>
    <row r="45">
      <c r="A45" s="95" t="inlineStr">
        <is>
          <t>V10: Countdown, 10 s × 3 versions, 9:16 + 4:5</t>
        </is>
      </c>
      <c r="B45" s="95" t="n"/>
      <c r="C45" s="95" t="n"/>
      <c r="D45" s="95" t="n"/>
      <c r="E45" s="95" t="n"/>
    </row>
    <row r="46">
      <c r="A46" s="67" t="inlineStr">
        <is>
          <t>V10</t>
        </is>
      </c>
      <c r="B46" s="66" t="inlineStr">
        <is>
          <t>0:00–0:03</t>
        </is>
      </c>
      <c r="C46" s="66" t="inlineStr">
        <is>
          <t>Big number animation.</t>
        </is>
      </c>
      <c r="D46" s="66" t="inlineStr">
        <is>
          <t>(music)</t>
        </is>
      </c>
      <c r="E46" s="66" t="inlineStr">
        <is>
          <t>3 DAYS LEFT / TOMORROW / TODAY 4 PM</t>
        </is>
      </c>
    </row>
    <row r="47">
      <c r="A47" s="67" t="inlineStr">
        <is>
          <t>V10</t>
        </is>
      </c>
      <c r="B47" s="66" t="inlineStr">
        <is>
          <t>0:03–0:08</t>
        </is>
      </c>
      <c r="C47" s="66" t="inlineStr">
        <is>
          <t>Speaker faces.</t>
        </is>
      </c>
      <c r="D47" s="66" t="inlineStr">
        <is>
          <t>(music)</t>
        </is>
      </c>
      <c r="E47" s="66" t="inlineStr">
        <is>
          <t>AI Is Eating Your Cloud Bill · Live bill teardown</t>
        </is>
      </c>
    </row>
    <row r="48">
      <c r="A48" s="67" t="inlineStr">
        <is>
          <t>V10</t>
        </is>
      </c>
      <c r="B48" s="66" t="inlineStr">
        <is>
          <t>0:08–0:10</t>
        </is>
      </c>
      <c r="C48" s="66" t="inlineStr">
        <is>
          <t>Button.</t>
        </is>
      </c>
      <c r="D48" s="66" t="inlineStr">
        <is>
          <t>(music)</t>
        </is>
      </c>
      <c r="E48" s="66" t="inlineStr">
        <is>
          <t>Register free →</t>
        </is>
      </c>
    </row>
    <row r="50">
      <c r="A50" s="74" t="inlineStr">
        <is>
          <t>Shoot checklist: lapel mic, window light or ring light, plain background with the Zarthi logo small, 3 outfits not needed (1 is fine), record each script 2–3 times, shoot vertical (9:16) and horizontal (16:9) versions of V3 and V4.</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H16"/>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50" customWidth="1" min="3" max="3"/>
    <col width="44" customWidth="1" min="4" max="4"/>
    <col width="30" customWidth="1" min="5" max="5"/>
    <col width="20" customWidth="1" min="6" max="6"/>
    <col width="22" customWidth="1" min="7" max="7"/>
    <col width="56" customWidth="1" min="8" max="8"/>
  </cols>
  <sheetData>
    <row r="1">
      <c r="A1" s="62" t="inlineStr">
        <is>
          <t>Image ideas: statics, carousels, LinkedIn document and thumbnails</t>
        </is>
      </c>
    </row>
    <row r="2">
      <c r="A2" s="74" t="inlineStr">
        <is>
          <t>Brief for the designer. Use real photos of the CEO and CTO; no stock people. Keep one template so every ad looks like the same event.</t>
        </is>
      </c>
    </row>
    <row r="3">
      <c r="A3" s="63" t="inlineStr">
        <is>
          <t>ID</t>
        </is>
      </c>
      <c r="B3" s="63" t="inlineStr">
        <is>
          <t>Concept</t>
        </is>
      </c>
      <c r="C3" s="63" t="inlineStr">
        <is>
          <t>Layout and visuals</t>
        </is>
      </c>
      <c r="D3" s="63" t="inlineStr">
        <is>
          <t>Text on the image</t>
        </is>
      </c>
      <c r="E3" s="63" t="inlineStr">
        <is>
          <t>Style and colours</t>
        </is>
      </c>
      <c r="F3" s="63" t="inlineStr">
        <is>
          <t>Sizes</t>
        </is>
      </c>
      <c r="G3" s="63" t="inlineStr">
        <is>
          <t>Platforms</t>
        </is>
      </c>
      <c r="H3" s="63" t="inlineStr">
        <is>
          <t>Designer / AI image brief</t>
        </is>
      </c>
    </row>
    <row r="4">
      <c r="A4" s="67" t="inlineStr">
        <is>
          <t>S1</t>
        </is>
      </c>
      <c r="B4" s="67" t="inlineStr">
        <is>
          <t>Speaker card</t>
        </is>
      </c>
      <c r="C4" s="66" t="inlineStr">
        <is>
          <t>CTO and CEO cut-outs on the right, title on the left, date strip at the bottom, small 'Think Like a CTO · Ep 1' tag top-left.</t>
        </is>
      </c>
      <c r="D4" s="66" t="inlineStr">
        <is>
          <t>AI Is Eating Your Cloud Bill · Live, free · Tue 27 Oct, 4 PM IST · Register free</t>
        </is>
      </c>
      <c r="E4" s="66" t="inlineStr">
        <is>
          <t>Dark navy background, lime or orange accent for the date, clean sans-serif; real photos, no stock.</t>
        </is>
      </c>
      <c r="F4" s="66" t="inlineStr">
        <is>
          <t>1080×1350, 1080×1920, 1200×627</t>
        </is>
      </c>
      <c r="G4" s="66" t="inlineStr">
        <is>
          <t>Meta, LinkedIn, Demand Gen</t>
        </is>
      </c>
      <c r="H4" s="66" t="inlineStr">
        <is>
          <t>Designer brief: professional headshots of two Indian tech leaders on a dark navy background, bold white headline left, bright accent date bar, modern tech event poster, lots of space</t>
        </is>
      </c>
    </row>
    <row r="5">
      <c r="A5" s="67" t="inlineStr">
        <is>
          <t>S2</t>
        </is>
      </c>
      <c r="B5" s="67" t="inlineStr">
        <is>
          <t>29% stat card</t>
        </is>
      </c>
      <c r="C5" s="66" t="inlineStr">
        <is>
          <t>One huge '29%' in the centre, a cloud icon with a crack leaking coins below it, small source line at the bottom.</t>
        </is>
      </c>
      <c r="D5" s="66" t="inlineStr">
        <is>
          <t>29% of cloud spend is wasted. · Find yours: free live session, 27 Oct · Source: State of FinOps 2026</t>
        </is>
      </c>
      <c r="E5" s="66" t="inlineStr">
        <is>
          <t>Black background, the number in neon orange; minimal.</t>
        </is>
      </c>
      <c r="F5" s="66" t="inlineStr">
        <is>
          <t>1080×1350, 1200×627, 1080×1080</t>
        </is>
      </c>
      <c r="G5" s="66" t="inlineStr">
        <is>
          <t>Meta, LinkedIn, Demand Gen</t>
        </is>
      </c>
      <c r="H5" s="66" t="inlineStr">
        <is>
          <t>Minimal poster, giant number 29% in neon orange on black, small flat cloud icon with coins dripping from a crack, flat vector, high contrast</t>
        </is>
      </c>
    </row>
    <row r="6">
      <c r="A6" s="67" t="inlineStr">
        <is>
          <t>S3</t>
        </is>
      </c>
      <c r="B6" s="67" t="inlineStr">
        <is>
          <t>Bill teardown mock-up</t>
        </is>
      </c>
      <c r="C6" s="66" t="inlineStr">
        <is>
          <t>A fake (clearly fictional) AWS-style invoice with 3 lines circled in red marker and handwritten notes like 'idle', 'oversized', 'GPU at 9%'.</t>
        </is>
      </c>
      <c r="D6" s="66" t="inlineStr">
        <is>
          <t>Send us your cloud bill. We'll tear it down live. · Free · 27 Oct</t>
        </is>
      </c>
      <c r="E6" s="66" t="inlineStr">
        <is>
          <t>Paper texture on desk, red marker circles, realistic but obviously sample data.</t>
        </is>
      </c>
      <c r="F6" s="66" t="inlineStr">
        <is>
          <t>1080×1350, 1200×1200</t>
        </is>
      </c>
      <c r="G6" s="66" t="inlineStr">
        <is>
          <t>Meta, LinkedIn</t>
        </is>
      </c>
      <c r="H6" s="66" t="inlineStr">
        <is>
          <t>Top-down photo of a printed cloud invoice on a wooden desk, three line items circled in red marker with handwritten notes, a laptop corner visible, realistic lighting (use dummy numbers)</t>
        </is>
      </c>
    </row>
    <row r="7">
      <c r="A7" s="67" t="inlineStr">
        <is>
          <t>S4</t>
        </is>
      </c>
      <c r="B7" s="67" t="inlineStr">
        <is>
          <t>Checklist preview</t>
        </is>
      </c>
      <c r="C7" s="66" t="inlineStr">
        <is>
          <t>Tilted mock-up of page 1 of the checklist with items 1–5 readable and the rest blurred; '27 checks' badge.</t>
        </is>
      </c>
      <c r="D7" s="66" t="inlineStr">
        <is>
          <t>Free: 27-point Cloud &amp; Kubernetes Cost Leak Checklist · Instant download when you register</t>
        </is>
      </c>
      <c r="E7" s="66" t="inlineStr">
        <is>
          <t>White page on navy, green tick marks.</t>
        </is>
      </c>
      <c r="F7" s="66" t="inlineStr">
        <is>
          <t>1080×1350</t>
        </is>
      </c>
      <c r="G7" s="66" t="inlineStr">
        <is>
          <t>Meta, LinkedIn</t>
        </is>
      </c>
      <c r="H7" s="66" t="inlineStr">
        <is>
          <t>3D mock-up of a checklist document on navy background, first five lines sharp with green ticks, rest blurred, badge saying 27 checks</t>
        </is>
      </c>
    </row>
    <row r="8">
      <c r="A8" s="67" t="inlineStr">
        <is>
          <t>S5</t>
        </is>
      </c>
      <c r="B8" s="67" t="inlineStr">
        <is>
          <t>Countdown (3 versions)</t>
        </is>
      </c>
      <c r="C8" s="66" t="inlineStr">
        <is>
          <t>Very large '7 DAYS' / 'TOMORROW' / 'TODAY 4 PM', speaker faces small at the bottom.</t>
        </is>
      </c>
      <c r="D8" s="66" t="inlineStr">
        <is>
          <t>7 days left / Tomorrow, 4 PM / Today, 4 PM IST · AI Is Eating Your Cloud Bill</t>
        </is>
      </c>
      <c r="E8" s="66" t="inlineStr">
        <is>
          <t>Same template as S1 so it's instantly recognisable.</t>
        </is>
      </c>
      <c r="F8" s="66" t="inlineStr">
        <is>
          <t>1080×1350, 1080×1920</t>
        </is>
      </c>
      <c r="G8" s="66" t="inlineStr">
        <is>
          <t>Meta, LinkedIn retargeting</t>
        </is>
      </c>
      <c r="H8" s="66" t="inlineStr">
        <is>
          <t>Reuse S1 template; swap the headline for the countdown text</t>
        </is>
      </c>
    </row>
    <row r="9">
      <c r="A9" s="67" t="inlineStr">
        <is>
          <t>S6</t>
        </is>
      </c>
      <c r="B9" s="67" t="inlineStr">
        <is>
          <t>Social proof</t>
        </is>
      </c>
      <c r="C9" s="66" t="inlineStr">
        <is>
          <t>Counter style '600+ engineers registered' with small avatars (initials only) and company-type tags.</t>
        </is>
      </c>
      <c r="D9" s="66" t="inlineStr">
        <is>
          <t>[real number]+ engineers already registered · Join them free · 27 Oct</t>
        </is>
      </c>
      <c r="E9" s="66" t="inlineStr">
        <is>
          <t>Same template as S1.</t>
        </is>
      </c>
      <c r="F9" s="66" t="inlineStr">
        <is>
          <t>1080×1350</t>
        </is>
      </c>
      <c r="G9" s="66" t="inlineStr">
        <is>
          <t>Meta retargeting</t>
        </is>
      </c>
      <c r="H9" s="66" t="inlineStr">
        <is>
          <t>Use only the real registration count; update before each refresh</t>
        </is>
      </c>
    </row>
    <row r="10">
      <c r="A10" s="67" t="inlineStr">
        <is>
          <t>C1</t>
        </is>
      </c>
      <c r="B10" s="67" t="inlineStr">
        <is>
          <t>Carousel: 5 leaks</t>
        </is>
      </c>
      <c r="C10" s="66" t="inlineStr">
        <is>
          <t>Card 1 title; cards 2–6 one leak each with an icon and a one-line 'how to spot it'; card 7 CTA with speaker faces.</t>
        </is>
      </c>
      <c r="D10" s="66" t="inlineStr">
        <is>
          <t>1 Oversized pods · 2 Log storage · 3 Clusters that never sleep · 4 Cross-zone traffic · 5 Idle GPUs · Fixes live on 27 Oct</t>
        </is>
      </c>
      <c r="E10" s="66" t="inlineStr">
        <is>
          <t>Numbered cards, consistent icon set, swipe arrow on card 1.</t>
        </is>
      </c>
      <c r="F10" s="66" t="inlineStr">
        <is>
          <t>1080×1080</t>
        </is>
      </c>
      <c r="G10" s="66" t="inlineStr">
        <is>
          <t>Meta, LinkedIn</t>
        </is>
      </c>
      <c r="H10" s="66" t="inlineStr">
        <is>
          <t>Flat icon set: server, log file, moon, network arrows, GPU chip; same colours as S1</t>
        </is>
      </c>
    </row>
    <row r="11">
      <c r="A11" s="67" t="inlineStr">
        <is>
          <t>C2</t>
        </is>
      </c>
      <c r="B11" s="67" t="inlineStr">
        <is>
          <t>Carousel: before / after</t>
        </is>
      </c>
      <c r="C11" s="66" t="inlineStr">
        <is>
          <t>Card 1 'Same cluster. Cheaper.'; cards 2–4 before/after bars for compute, storage, GPU; card 5 CTA. Mark numbers as an example.</t>
        </is>
      </c>
      <c r="D11" s="66" t="inlineStr">
        <is>
          <t>Same cluster. 34% cheaper (example) · How: live on 27 Oct</t>
        </is>
      </c>
      <c r="E11" s="66" t="inlineStr">
        <is>
          <t>Split-screen red vs green bars.</t>
        </is>
      </c>
      <c r="F11" s="66" t="inlineStr">
        <is>
          <t>1080×1080</t>
        </is>
      </c>
      <c r="G11" s="66" t="inlineStr">
        <is>
          <t>Meta</t>
        </is>
      </c>
      <c r="H11" s="66" t="inlineStr">
        <is>
          <t>Simple bar charts, red 'before' vs green 'after', flat style</t>
        </is>
      </c>
    </row>
    <row r="12">
      <c r="A12" s="67" t="inlineStr">
        <is>
          <t>C3</t>
        </is>
      </c>
      <c r="B12" s="67" t="inlineStr">
        <is>
          <t>Carousel: engineer → CTO</t>
        </is>
      </c>
      <c r="C12" s="66" t="inlineStr">
        <is>
          <t>Card 1 hook; cards 2–5 one question a CTO asks about cost; card 6 CTA.</t>
        </is>
      </c>
      <c r="D12" s="66" t="inlineStr">
        <is>
          <t>Which team owns this spend? · What does one user cost us? · What happens at 10x traffic? · Build or buy? · Learn to answer live</t>
        </is>
      </c>
      <c r="E12" s="66" t="inlineStr">
        <is>
          <t>Photo of CTO on card 1, text cards after.</t>
        </is>
      </c>
      <c r="F12" s="66" t="inlineStr">
        <is>
          <t>1080×1080</t>
        </is>
      </c>
      <c r="G12" s="66" t="inlineStr">
        <is>
          <t>Meta, LinkedIn</t>
        </is>
      </c>
      <c r="H12" s="66" t="inlineStr">
        <is>
          <t>Clean text cards with a big question mark motif</t>
        </is>
      </c>
    </row>
    <row r="13">
      <c r="A13" s="67" t="inlineStr">
        <is>
          <t>L1</t>
        </is>
      </c>
      <c r="B13" s="67" t="inlineStr">
        <is>
          <t>LinkedIn document ad</t>
        </is>
      </c>
      <c r="C13" s="66" t="inlineStr">
        <is>
          <t>8-page PDF: cover, 'why 29%', checks 1–5 in full, a locked page 'get all 27 free', speaker page, register page.</t>
        </is>
      </c>
      <c r="D13" s="66" t="inlineStr">
        <is>
          <t>The 27-point Cloud Cost Leak Checklist (preview)</t>
        </is>
      </c>
      <c r="E13" s="66" t="inlineStr">
        <is>
          <t>Document style, white pages with navy headers.</t>
        </is>
      </c>
      <c r="F13" s="66" t="inlineStr">
        <is>
          <t>1080×1350 pages</t>
        </is>
      </c>
      <c r="G13" s="66" t="inlineStr">
        <is>
          <t>LinkedIn</t>
        </is>
      </c>
      <c r="H13" s="66" t="inlineStr">
        <is>
          <t>Export from the checklist design; LinkedIn gates the full download behind the Lead Gen Form</t>
        </is>
      </c>
    </row>
    <row r="14">
      <c r="A14" s="67" t="inlineStr">
        <is>
          <t>THUMB</t>
        </is>
      </c>
      <c r="B14" s="67" t="inlineStr">
        <is>
          <t>Video thumbnails</t>
        </is>
      </c>
      <c r="C14" s="66" t="inlineStr">
        <is>
          <t>CTO face with a surprised or serious look, 3–4 word text, bright accent.</t>
        </is>
      </c>
      <c r="D14" s="66" t="inlineStr">
        <is>
          <t>'29% WASTED?' / 'STOP PAYING FOR AIR' / 'BILL TEARDOWN'</t>
        </is>
      </c>
      <c r="E14" s="66" t="inlineStr">
        <is>
          <t>High contrast, readable at small size.</t>
        </is>
      </c>
      <c r="F14" s="66" t="inlineStr">
        <is>
          <t>1280×720, 1080×1080</t>
        </is>
      </c>
      <c r="G14" s="66" t="inlineStr">
        <is>
          <t>Google Demand Gen video, Meta</t>
        </is>
      </c>
      <c r="H14" s="66" t="inlineStr">
        <is>
          <t>Use a real frame from the shoot; add a bold text overlay</t>
        </is>
      </c>
    </row>
    <row r="16">
      <c r="A16" s="74" t="inlineStr">
        <is>
          <t>Sizes: Meta feed 1080×1350 (4:5), Stories/Reels 1080×1920 (9:16), LinkedIn 1200×627 or 1080×1080, Google Demand Gen 1200×628, 1200×1200 and 960×1200.</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K42"/>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0" customWidth="1" min="3" max="3"/>
    <col width="20" customWidth="1" min="4" max="4"/>
    <col width="30" customWidth="1" min="5" max="5"/>
    <col width="13" customWidth="1" min="6" max="6"/>
    <col width="44" customWidth="1" min="7" max="7"/>
    <col width="20" customWidth="1" min="8" max="8"/>
    <col width="15" customWidth="1" min="9" max="9"/>
    <col width="12" customWidth="1" min="10" max="10"/>
    <col width="12" customWidth="1" min="11" max="11"/>
  </cols>
  <sheetData>
    <row r="1">
      <c r="A1" s="62" t="inlineStr">
        <is>
          <t>Creative list: what we make, for which platform, and when it goes live</t>
        </is>
      </c>
    </row>
    <row r="2">
      <c r="A2" s="74" t="inlineStr">
        <is>
          <t>Full scripts are on the Video Scripts tab, image briefs on Image Ideas, and ad text on Ad Copy.</t>
        </is>
      </c>
    </row>
    <row r="3">
      <c r="A3" s="63" t="inlineStr">
        <is>
          <t>ID</t>
        </is>
      </c>
      <c r="B3" s="63" t="inlineStr">
        <is>
          <t>Creative</t>
        </is>
      </c>
      <c r="C3" s="63" t="inlineStr">
        <is>
          <t>Format and length</t>
        </is>
      </c>
      <c r="D3" s="63" t="inlineStr">
        <is>
          <t>Size / ratio</t>
        </is>
      </c>
      <c r="E3" s="63" t="inlineStr">
        <is>
          <t>Platform</t>
        </is>
      </c>
      <c r="F3" s="63" t="inlineStr">
        <is>
          <t>Audience stage</t>
        </is>
      </c>
      <c r="G3" s="63" t="inlineStr">
        <is>
          <t>Hook</t>
        </is>
      </c>
      <c r="H3" s="63" t="inlineStr">
        <is>
          <t>Details on tab</t>
        </is>
      </c>
      <c r="I3" s="63" t="inlineStr">
        <is>
          <t>Who</t>
        </is>
      </c>
      <c r="J3" s="63" t="inlineStr">
        <is>
          <t>Ready by</t>
        </is>
      </c>
      <c r="K3" s="63" t="inlineStr">
        <is>
          <t>First live</t>
        </is>
      </c>
    </row>
    <row r="4">
      <c r="A4" s="67" t="inlineStr">
        <is>
          <t>V1</t>
        </is>
      </c>
      <c r="B4" s="67" t="inlineStr">
        <is>
          <t>Main VSL (landing page)</t>
        </is>
      </c>
      <c r="C4" s="66" t="inlineStr">
        <is>
          <t>Video, 3–3.5 min</t>
        </is>
      </c>
      <c r="D4" s="66" t="inlineStr">
        <is>
          <t>16:9</t>
        </is>
      </c>
      <c r="E4" s="66" t="inlineStr">
        <is>
          <t>Landing page; Meta + Google retargeting</t>
        </is>
      </c>
      <c r="F4" s="66" t="inlineStr">
        <is>
          <t>Warm</t>
        </is>
      </c>
      <c r="G4" s="66" t="inlineStr">
        <is>
          <t>"Your cloud bill went up again. Traffic didn't."</t>
        </is>
      </c>
      <c r="H4" s="66" t="inlineStr">
        <is>
          <t>Video Scripts: V1</t>
        </is>
      </c>
      <c r="I4" s="66" t="inlineStr">
        <is>
          <t>CTO + CEO</t>
        </is>
      </c>
      <c r="J4" s="125" t="n">
        <v>46303</v>
      </c>
      <c r="K4" s="125" t="n">
        <v>46304</v>
      </c>
    </row>
    <row r="5">
      <c r="A5" s="67" t="inlineStr">
        <is>
          <t>V2</t>
        </is>
      </c>
      <c r="B5" s="67" t="inlineStr">
        <is>
          <t>60-second cut</t>
        </is>
      </c>
      <c r="C5" s="66" t="inlineStr">
        <is>
          <t>Video, 60 s</t>
        </is>
      </c>
      <c r="D5" s="66" t="inlineStr">
        <is>
          <t>16:9 + 1:1 + 9:16</t>
        </is>
      </c>
      <c r="E5" s="66" t="inlineStr">
        <is>
          <t>Google Demand Gen, LinkedIn video, Meta</t>
        </is>
      </c>
      <c r="F5" s="66" t="inlineStr">
        <is>
          <t>Cold</t>
        </is>
      </c>
      <c r="G5" s="66" t="inlineStr">
        <is>
          <t>"29% of cloud spend is wasted. Here's where it hides in Kubernetes."</t>
        </is>
      </c>
      <c r="H5" s="66" t="inlineStr">
        <is>
          <t>Video Scripts: V2</t>
        </is>
      </c>
      <c r="I5" s="66" t="inlineStr">
        <is>
          <t>CTO</t>
        </is>
      </c>
      <c r="J5" s="125" t="n">
        <v>46303</v>
      </c>
      <c r="K5" s="125" t="n">
        <v>46304</v>
      </c>
    </row>
    <row r="6">
      <c r="A6" s="67" t="inlineStr">
        <is>
          <t>V3</t>
        </is>
      </c>
      <c r="B6" s="67" t="inlineStr">
        <is>
          <t>CTO talking head</t>
        </is>
      </c>
      <c r="C6" s="66" t="inlineStr">
        <is>
          <t>Video, 30 s</t>
        </is>
      </c>
      <c r="D6" s="66" t="inlineStr">
        <is>
          <t>9:16 + 4:5</t>
        </is>
      </c>
      <c r="E6" s="66" t="inlineStr">
        <is>
          <t>Meta Reels/Feed, LinkedIn</t>
        </is>
      </c>
      <c r="F6" s="66" t="inlineStr">
        <is>
          <t>Cold</t>
        </is>
      </c>
      <c r="G6" s="66" t="inlineStr">
        <is>
          <t>"3 places your Kubernetes bill leaks. Number 2 surprises everyone."</t>
        </is>
      </c>
      <c r="H6" s="66" t="inlineStr">
        <is>
          <t>Video Scripts: V3</t>
        </is>
      </c>
      <c r="I6" s="66" t="inlineStr">
        <is>
          <t>CTO</t>
        </is>
      </c>
      <c r="J6" s="125" t="n">
        <v>46303</v>
      </c>
      <c r="K6" s="125" t="n">
        <v>46304</v>
      </c>
    </row>
    <row r="7">
      <c r="A7" s="67" t="inlineStr">
        <is>
          <t>V4</t>
        </is>
      </c>
      <c r="B7" s="67" t="inlineStr">
        <is>
          <t>CEO talking head</t>
        </is>
      </c>
      <c r="C7" s="66" t="inlineStr">
        <is>
          <t>Video, 30 s</t>
        </is>
      </c>
      <c r="D7" s="66" t="inlineStr">
        <is>
          <t>4:5 + 1:1</t>
        </is>
      </c>
      <c r="E7" s="66" t="inlineStr">
        <is>
          <t>Meta Feed, LinkedIn</t>
        </is>
      </c>
      <c r="F7" s="66" t="inlineStr">
        <is>
          <t>Cold</t>
        </is>
      </c>
      <c r="G7" s="66" t="inlineStr">
        <is>
          <t>"The engineers who get promoted fastest can explain the cloud bill."</t>
        </is>
      </c>
      <c r="H7" s="66" t="inlineStr">
        <is>
          <t>Video Scripts: V4</t>
        </is>
      </c>
      <c r="I7" s="66" t="inlineStr">
        <is>
          <t>CEO</t>
        </is>
      </c>
      <c r="J7" s="125" t="n">
        <v>46303</v>
      </c>
      <c r="K7" s="125" t="n">
        <v>46304</v>
      </c>
    </row>
    <row r="8">
      <c r="A8" s="67" t="inlineStr">
        <is>
          <t>V5</t>
        </is>
      </c>
      <c r="B8" s="67" t="inlineStr">
        <is>
          <t>Myth vs fact reel</t>
        </is>
      </c>
      <c r="C8" s="66" t="inlineStr">
        <is>
          <t>Video, 15 s, text on screen</t>
        </is>
      </c>
      <c r="D8" s="66" t="inlineStr">
        <is>
          <t>9:16</t>
        </is>
      </c>
      <c r="E8" s="66" t="inlineStr">
        <is>
          <t>Meta Reels/Stories</t>
        </is>
      </c>
      <c r="F8" s="66" t="inlineStr">
        <is>
          <t>Cold</t>
        </is>
      </c>
      <c r="G8" s="66" t="inlineStr">
        <is>
          <t>"Myth: autoscaling saves money."</t>
        </is>
      </c>
      <c r="H8" s="66" t="inlineStr">
        <is>
          <t>Video Scripts: V5</t>
        </is>
      </c>
      <c r="I8" s="66" t="inlineStr">
        <is>
          <t>Editor</t>
        </is>
      </c>
      <c r="J8" s="125" t="n">
        <v>46303</v>
      </c>
      <c r="K8" s="125" t="n">
        <v>46304</v>
      </c>
    </row>
    <row r="9">
      <c r="A9" s="67" t="inlineStr">
        <is>
          <t>V6</t>
        </is>
      </c>
      <c r="B9" s="67" t="inlineStr">
        <is>
          <t>Whiteboard explainer</t>
        </is>
      </c>
      <c r="C9" s="66" t="inlineStr">
        <is>
          <t>Video, 45 s</t>
        </is>
      </c>
      <c r="D9" s="66" t="inlineStr">
        <is>
          <t>9:16 + 16:9</t>
        </is>
      </c>
      <c r="E9" s="66" t="inlineStr">
        <is>
          <t>Meta, Google Demand Gen, LinkedIn</t>
        </is>
      </c>
      <c r="F9" s="66" t="inlineStr">
        <is>
          <t>Cold</t>
        </is>
      </c>
      <c r="G9" s="66" t="inlineStr">
        <is>
          <t>"Follow ₹100 of cloud spend and watch ₹29 disappear."</t>
        </is>
      </c>
      <c r="H9" s="66" t="inlineStr">
        <is>
          <t>Video Scripts: V6</t>
        </is>
      </c>
      <c r="I9" s="66" t="inlineStr">
        <is>
          <t>CTO</t>
        </is>
      </c>
      <c r="J9" s="125" t="n">
        <v>46303</v>
      </c>
      <c r="K9" s="125" t="n">
        <v>46309</v>
      </c>
    </row>
    <row r="10">
      <c r="A10" s="67" t="inlineStr">
        <is>
          <t>V7</t>
        </is>
      </c>
      <c r="B10" s="67" t="inlineStr">
        <is>
          <t>Engineer POV (selfie style)</t>
        </is>
      </c>
      <c r="C10" s="66" t="inlineStr">
        <is>
          <t>Video, 25 s</t>
        </is>
      </c>
      <c r="D10" s="66" t="inlineStr">
        <is>
          <t>9:16</t>
        </is>
      </c>
      <c r="E10" s="66" t="inlineStr">
        <is>
          <t>Meta Reels</t>
        </is>
      </c>
      <c r="F10" s="66" t="inlineStr">
        <is>
          <t>Cold</t>
        </is>
      </c>
      <c r="G10" s="66" t="inlineStr">
        <is>
          <t>"Our staging clusters ran all night. Nobody used them after 8 PM."</t>
        </is>
      </c>
      <c r="H10" s="66" t="inlineStr">
        <is>
          <t>Video Scripts: V7</t>
        </is>
      </c>
      <c r="I10" s="66" t="inlineStr">
        <is>
          <t>Zarthi engineer</t>
        </is>
      </c>
      <c r="J10" s="125" t="n">
        <v>46308</v>
      </c>
      <c r="K10" s="125" t="n">
        <v>46309</v>
      </c>
    </row>
    <row r="11">
      <c r="A11" s="67" t="inlineStr">
        <is>
          <t>V8</t>
        </is>
      </c>
      <c r="B11" s="67" t="inlineStr">
        <is>
          <t>CEO + CTO podcast clip</t>
        </is>
      </c>
      <c r="C11" s="66" t="inlineStr">
        <is>
          <t>Video, 40 s</t>
        </is>
      </c>
      <c r="D11" s="66" t="inlineStr">
        <is>
          <t>1:1 + 9:16</t>
        </is>
      </c>
      <c r="E11" s="66" t="inlineStr">
        <is>
          <t>Meta, LinkedIn</t>
        </is>
      </c>
      <c r="F11" s="66" t="inlineStr">
        <is>
          <t>Cold / warm</t>
        </is>
      </c>
      <c r="G11" s="66" t="inlineStr">
        <is>
          <t>CEO: "Who owns the cloud bill in your team?"</t>
        </is>
      </c>
      <c r="H11" s="66" t="inlineStr">
        <is>
          <t>Video Scripts: V8</t>
        </is>
      </c>
      <c r="I11" s="66" t="inlineStr">
        <is>
          <t>CEO + CTO</t>
        </is>
      </c>
      <c r="J11" s="125" t="n">
        <v>46308</v>
      </c>
      <c r="K11" s="125" t="n">
        <v>46313</v>
      </c>
    </row>
    <row r="12">
      <c r="A12" s="67" t="inlineStr">
        <is>
          <t>V9</t>
        </is>
      </c>
      <c r="B12" s="67" t="inlineStr">
        <is>
          <t>Bumper</t>
        </is>
      </c>
      <c r="C12" s="66" t="inlineStr">
        <is>
          <t>Video, 6 s</t>
        </is>
      </c>
      <c r="D12" s="66" t="inlineStr">
        <is>
          <t>16:9</t>
        </is>
      </c>
      <c r="E12" s="66" t="inlineStr">
        <is>
          <t>Google Demand Gen (video)</t>
        </is>
      </c>
      <c r="F12" s="66" t="inlineStr">
        <is>
          <t>Warm</t>
        </is>
      </c>
      <c r="G12" s="66" t="inlineStr">
        <is>
          <t>"Cut your cloud bill: free CTO session, 27 Oct."</t>
        </is>
      </c>
      <c r="H12" s="66" t="inlineStr">
        <is>
          <t>Video Scripts: V9</t>
        </is>
      </c>
      <c r="I12" s="66" t="inlineStr">
        <is>
          <t>Editor</t>
        </is>
      </c>
      <c r="J12" s="125" t="n">
        <v>46313</v>
      </c>
      <c r="K12" s="125" t="n">
        <v>46316</v>
      </c>
    </row>
    <row r="13">
      <c r="A13" s="67" t="inlineStr">
        <is>
          <t>V10</t>
        </is>
      </c>
      <c r="B13" s="67" t="inlineStr">
        <is>
          <t>Countdown</t>
        </is>
      </c>
      <c r="C13" s="66" t="inlineStr">
        <is>
          <t>Video, 10 s × 3</t>
        </is>
      </c>
      <c r="D13" s="66" t="inlineStr">
        <is>
          <t>9:16 + 4:5</t>
        </is>
      </c>
      <c r="E13" s="66" t="inlineStr">
        <is>
          <t>Meta + Google retargeting, LinkedIn</t>
        </is>
      </c>
      <c r="F13" s="66" t="inlineStr">
        <is>
          <t>Hot</t>
        </is>
      </c>
      <c r="G13" s="66" t="inlineStr">
        <is>
          <t>"3 days left" / "Tomorrow" / "Today 4 PM"</t>
        </is>
      </c>
      <c r="H13" s="66" t="inlineStr">
        <is>
          <t>Video Scripts: V10</t>
        </is>
      </c>
      <c r="I13" s="66" t="inlineStr">
        <is>
          <t>Editor</t>
        </is>
      </c>
      <c r="J13" s="125" t="n">
        <v>46317</v>
      </c>
      <c r="K13" s="125" t="n">
        <v>46319</v>
      </c>
    </row>
    <row r="14">
      <c r="A14" s="67" t="inlineStr">
        <is>
          <t>S1</t>
        </is>
      </c>
      <c r="B14" s="67" t="inlineStr">
        <is>
          <t>Speaker card</t>
        </is>
      </c>
      <c r="C14" s="66" t="inlineStr">
        <is>
          <t>Static</t>
        </is>
      </c>
      <c r="D14" s="66" t="inlineStr">
        <is>
          <t>1080×1350, 1200×627</t>
        </is>
      </c>
      <c r="E14" s="66" t="inlineStr">
        <is>
          <t>Meta, LinkedIn, Demand Gen</t>
        </is>
      </c>
      <c r="F14" s="66" t="inlineStr">
        <is>
          <t>Cold</t>
        </is>
      </c>
      <c r="G14" s="66" t="inlineStr">
        <is>
          <t>"AI Is Eating Your Cloud Bill"</t>
        </is>
      </c>
      <c r="H14" s="66" t="inlineStr">
        <is>
          <t>Image Ideas: S1</t>
        </is>
      </c>
      <c r="I14" s="66" t="inlineStr">
        <is>
          <t>Designer</t>
        </is>
      </c>
      <c r="J14" s="125" t="n">
        <v>46302</v>
      </c>
      <c r="K14" s="125" t="n">
        <v>46304</v>
      </c>
    </row>
    <row r="15">
      <c r="A15" s="67" t="inlineStr">
        <is>
          <t>S2</t>
        </is>
      </c>
      <c r="B15" s="67" t="inlineStr">
        <is>
          <t>29% stat card</t>
        </is>
      </c>
      <c r="C15" s="66" t="inlineStr">
        <is>
          <t>Static</t>
        </is>
      </c>
      <c r="D15" s="66" t="inlineStr">
        <is>
          <t>1080×1350, 1200×627</t>
        </is>
      </c>
      <c r="E15" s="66" t="inlineStr">
        <is>
          <t>Meta, LinkedIn, Demand Gen</t>
        </is>
      </c>
      <c r="F15" s="66" t="inlineStr">
        <is>
          <t>Cold</t>
        </is>
      </c>
      <c r="G15" s="66" t="inlineStr">
        <is>
          <t>"29% of cloud spend is wasted."</t>
        </is>
      </c>
      <c r="H15" s="66" t="inlineStr">
        <is>
          <t>Image Ideas: S2</t>
        </is>
      </c>
      <c r="I15" s="66" t="inlineStr">
        <is>
          <t>Designer</t>
        </is>
      </c>
      <c r="J15" s="125" t="n">
        <v>46302</v>
      </c>
      <c r="K15" s="125" t="n">
        <v>46304</v>
      </c>
    </row>
    <row r="16">
      <c r="A16" s="67" t="inlineStr">
        <is>
          <t>S3</t>
        </is>
      </c>
      <c r="B16" s="67" t="inlineStr">
        <is>
          <t>Bill teardown mock-up</t>
        </is>
      </c>
      <c r="C16" s="66" t="inlineStr">
        <is>
          <t>Static</t>
        </is>
      </c>
      <c r="D16" s="66" t="inlineStr">
        <is>
          <t>1080×1350, 1200×1200</t>
        </is>
      </c>
      <c r="E16" s="66" t="inlineStr">
        <is>
          <t>Meta, LinkedIn</t>
        </is>
      </c>
      <c r="F16" s="66" t="inlineStr">
        <is>
          <t>Cold</t>
        </is>
      </c>
      <c r="G16" s="66" t="inlineStr">
        <is>
          <t>"Send us your cloud bill. We'll tear it down live."</t>
        </is>
      </c>
      <c r="H16" s="66" t="inlineStr">
        <is>
          <t>Image Ideas: S3</t>
        </is>
      </c>
      <c r="I16" s="66" t="inlineStr">
        <is>
          <t>Designer</t>
        </is>
      </c>
      <c r="J16" s="125" t="n">
        <v>46302</v>
      </c>
      <c r="K16" s="125" t="n">
        <v>46304</v>
      </c>
    </row>
    <row r="17">
      <c r="A17" s="67" t="inlineStr">
        <is>
          <t>S4</t>
        </is>
      </c>
      <c r="B17" s="67" t="inlineStr">
        <is>
          <t>Checklist preview</t>
        </is>
      </c>
      <c r="C17" s="66" t="inlineStr">
        <is>
          <t>Static</t>
        </is>
      </c>
      <c r="D17" s="66" t="inlineStr">
        <is>
          <t>1080×1350</t>
        </is>
      </c>
      <c r="E17" s="66" t="inlineStr">
        <is>
          <t>Meta, LinkedIn</t>
        </is>
      </c>
      <c r="F17" s="66" t="inlineStr">
        <is>
          <t>Cold / warm</t>
        </is>
      </c>
      <c r="G17" s="66" t="inlineStr">
        <is>
          <t>"Free: 27-point Cost Leak Checklist"</t>
        </is>
      </c>
      <c r="H17" s="66" t="inlineStr">
        <is>
          <t>Image Ideas: S4</t>
        </is>
      </c>
      <c r="I17" s="66" t="inlineStr">
        <is>
          <t>Designer</t>
        </is>
      </c>
      <c r="J17" s="125" t="n">
        <v>46307</v>
      </c>
      <c r="K17" s="125" t="n">
        <v>46309</v>
      </c>
    </row>
    <row r="18">
      <c r="A18" s="67" t="inlineStr">
        <is>
          <t>S5</t>
        </is>
      </c>
      <c r="B18" s="67" t="inlineStr">
        <is>
          <t>Countdown statics</t>
        </is>
      </c>
      <c r="C18" s="66" t="inlineStr">
        <is>
          <t>Static × 3</t>
        </is>
      </c>
      <c r="D18" s="66" t="inlineStr">
        <is>
          <t>1080×1350, 1080×1920</t>
        </is>
      </c>
      <c r="E18" s="66" t="inlineStr">
        <is>
          <t>Meta, LinkedIn retargeting</t>
        </is>
      </c>
      <c r="F18" s="66" t="inlineStr">
        <is>
          <t>Hot</t>
        </is>
      </c>
      <c r="G18" s="66" t="inlineStr">
        <is>
          <t>"7 days" / "Tomorrow" / "Today 4 PM"</t>
        </is>
      </c>
      <c r="H18" s="66" t="inlineStr">
        <is>
          <t>Image Ideas: S5</t>
        </is>
      </c>
      <c r="I18" s="66" t="inlineStr">
        <is>
          <t>Designer</t>
        </is>
      </c>
      <c r="J18" s="125" t="n">
        <v>46314</v>
      </c>
      <c r="K18" s="125" t="n">
        <v>46315</v>
      </c>
    </row>
    <row r="19">
      <c r="A19" s="67" t="inlineStr">
        <is>
          <t>S6</t>
        </is>
      </c>
      <c r="B19" s="67" t="inlineStr">
        <is>
          <t>Social proof</t>
        </is>
      </c>
      <c r="C19" s="66" t="inlineStr">
        <is>
          <t>Static</t>
        </is>
      </c>
      <c r="D19" s="66" t="inlineStr">
        <is>
          <t>1080×1350</t>
        </is>
      </c>
      <c r="E19" s="66" t="inlineStr">
        <is>
          <t>Meta retargeting</t>
        </is>
      </c>
      <c r="F19" s="66" t="inlineStr">
        <is>
          <t>Warm / hot</t>
        </is>
      </c>
      <c r="G19" s="66" t="inlineStr">
        <is>
          <t>"[real number]+ engineers registered"</t>
        </is>
      </c>
      <c r="H19" s="66" t="inlineStr">
        <is>
          <t>Image Ideas: S6</t>
        </is>
      </c>
      <c r="I19" s="66" t="inlineStr">
        <is>
          <t>Designer</t>
        </is>
      </c>
      <c r="J19" s="125" t="n">
        <v>46312</v>
      </c>
      <c r="K19" s="125" t="n">
        <v>46313</v>
      </c>
    </row>
    <row r="20">
      <c r="A20" s="67" t="inlineStr">
        <is>
          <t>C1</t>
        </is>
      </c>
      <c r="B20" s="67" t="inlineStr">
        <is>
          <t>Carousel: 5 leaks</t>
        </is>
      </c>
      <c r="C20" s="66" t="inlineStr">
        <is>
          <t>Carousel, 7 cards</t>
        </is>
      </c>
      <c r="D20" s="66" t="inlineStr">
        <is>
          <t>1080×1080</t>
        </is>
      </c>
      <c r="E20" s="66" t="inlineStr">
        <is>
          <t>Meta, LinkedIn</t>
        </is>
      </c>
      <c r="F20" s="66" t="inlineStr">
        <is>
          <t>Cold</t>
        </is>
      </c>
      <c r="G20" s="66" t="inlineStr">
        <is>
          <t>"5 places your cloud bill leaks"</t>
        </is>
      </c>
      <c r="H20" s="66" t="inlineStr">
        <is>
          <t>Image Ideas: C1</t>
        </is>
      </c>
      <c r="I20" s="66" t="inlineStr">
        <is>
          <t>Designer</t>
        </is>
      </c>
      <c r="J20" s="125" t="n">
        <v>46302</v>
      </c>
      <c r="K20" s="125" t="n">
        <v>46304</v>
      </c>
    </row>
    <row r="21">
      <c r="A21" s="67" t="inlineStr">
        <is>
          <t>C2</t>
        </is>
      </c>
      <c r="B21" s="67" t="inlineStr">
        <is>
          <t>Carousel: before / after</t>
        </is>
      </c>
      <c r="C21" s="66" t="inlineStr">
        <is>
          <t>Carousel, 5 cards</t>
        </is>
      </c>
      <c r="D21" s="66" t="inlineStr">
        <is>
          <t>1080×1080</t>
        </is>
      </c>
      <c r="E21" s="66" t="inlineStr">
        <is>
          <t>Meta</t>
        </is>
      </c>
      <c r="F21" s="66" t="inlineStr">
        <is>
          <t>Cold</t>
        </is>
      </c>
      <c r="G21" s="66" t="inlineStr">
        <is>
          <t>"Same cluster. 34% cheaper."</t>
        </is>
      </c>
      <c r="H21" s="66" t="inlineStr">
        <is>
          <t>Image Ideas: C2</t>
        </is>
      </c>
      <c r="I21" s="66" t="inlineStr">
        <is>
          <t>Designer</t>
        </is>
      </c>
      <c r="J21" s="125" t="n">
        <v>46307</v>
      </c>
      <c r="K21" s="125" t="n">
        <v>46309</v>
      </c>
    </row>
    <row r="22">
      <c r="A22" s="67" t="inlineStr">
        <is>
          <t>C3</t>
        </is>
      </c>
      <c r="B22" s="67" t="inlineStr">
        <is>
          <t>Carousel: engineer → CTO</t>
        </is>
      </c>
      <c r="C22" s="66" t="inlineStr">
        <is>
          <t>Carousel, 6 cards</t>
        </is>
      </c>
      <c r="D22" s="66" t="inlineStr">
        <is>
          <t>1080×1080</t>
        </is>
      </c>
      <c r="E22" s="66" t="inlineStr">
        <is>
          <t>Meta, LinkedIn</t>
        </is>
      </c>
      <c r="F22" s="66" t="inlineStr">
        <is>
          <t>Cold</t>
        </is>
      </c>
      <c r="G22" s="66" t="inlineStr">
        <is>
          <t>"5 questions CTOs ask about the cloud bill"</t>
        </is>
      </c>
      <c r="H22" s="66" t="inlineStr">
        <is>
          <t>Image Ideas: C3</t>
        </is>
      </c>
      <c r="I22" s="66" t="inlineStr">
        <is>
          <t>Designer</t>
        </is>
      </c>
      <c r="J22" s="125" t="n">
        <v>46311</v>
      </c>
      <c r="K22" s="125" t="n">
        <v>46313</v>
      </c>
    </row>
    <row r="23">
      <c r="A23" s="67" t="inlineStr">
        <is>
          <t>L1</t>
        </is>
      </c>
      <c r="B23" s="67" t="inlineStr">
        <is>
          <t>LinkedIn document ad</t>
        </is>
      </c>
      <c r="C23" s="66" t="inlineStr">
        <is>
          <t>PDF, 8 pages</t>
        </is>
      </c>
      <c r="D23" s="66" t="inlineStr">
        <is>
          <t>1080×1350</t>
        </is>
      </c>
      <c r="E23" s="66" t="inlineStr">
        <is>
          <t>LinkedIn</t>
        </is>
      </c>
      <c r="F23" s="66" t="inlineStr">
        <is>
          <t>Cold</t>
        </is>
      </c>
      <c r="G23" s="66" t="inlineStr">
        <is>
          <t>"The 27-point Cost Leak Checklist (preview)"</t>
        </is>
      </c>
      <c r="H23" s="66" t="inlineStr">
        <is>
          <t>Image Ideas: L1</t>
        </is>
      </c>
      <c r="I23" s="66" t="inlineStr">
        <is>
          <t>Designer</t>
        </is>
      </c>
      <c r="J23" s="125" t="n">
        <v>46303</v>
      </c>
      <c r="K23" s="125" t="n">
        <v>46304</v>
      </c>
    </row>
    <row r="24">
      <c r="A24" s="67" t="inlineStr">
        <is>
          <t>G1</t>
        </is>
      </c>
      <c r="B24" s="67" t="inlineStr">
        <is>
          <t>Google search ads</t>
        </is>
      </c>
      <c r="C24" s="66" t="inlineStr">
        <is>
          <t>Text (RSA)</t>
        </is>
      </c>
      <c r="D24" s="66" t="inlineStr">
        <is>
          <t>-</t>
        </is>
      </c>
      <c r="E24" s="66" t="inlineStr">
        <is>
          <t>Google Search</t>
        </is>
      </c>
      <c r="F24" s="66" t="inlineStr">
        <is>
          <t>Intent</t>
        </is>
      </c>
      <c r="G24" s="66" t="inlineStr">
        <is>
          <t>"Cut Kubernetes Costs: Free Live Session"</t>
        </is>
      </c>
      <c r="H24" s="66" t="inlineStr">
        <is>
          <t>Ad Copy: Google RSA</t>
        </is>
      </c>
      <c r="I24" s="66" t="inlineStr">
        <is>
          <t>Shourya</t>
        </is>
      </c>
      <c r="J24" s="125" t="n">
        <v>46302</v>
      </c>
      <c r="K24" s="125" t="n">
        <v>46304</v>
      </c>
    </row>
    <row r="25">
      <c r="A25" s="67" t="inlineStr">
        <is>
          <t>G2</t>
        </is>
      </c>
      <c r="B25" s="67" t="inlineStr">
        <is>
          <t>Google Demand Gen image ads</t>
        </is>
      </c>
      <c r="C25" s="66" t="inlineStr">
        <is>
          <t>Image + text</t>
        </is>
      </c>
      <c r="D25" s="66" t="inlineStr">
        <is>
          <t>1.91:1, 1:1, 4:5</t>
        </is>
      </c>
      <c r="E25" s="66" t="inlineStr">
        <is>
          <t>Google Demand Gen</t>
        </is>
      </c>
      <c r="F25" s="66" t="inlineStr">
        <is>
          <t>Cold</t>
        </is>
      </c>
      <c r="G25" s="66" t="inlineStr">
        <is>
          <t>Uses S1, S2, S3 resized</t>
        </is>
      </c>
      <c r="H25" s="66" t="inlineStr">
        <is>
          <t>Ad Copy: Demand Gen</t>
        </is>
      </c>
      <c r="I25" s="66" t="inlineStr">
        <is>
          <t>Designer</t>
        </is>
      </c>
      <c r="J25" s="125" t="n">
        <v>46303</v>
      </c>
      <c r="K25" s="125" t="n">
        <v>46304</v>
      </c>
    </row>
    <row r="26">
      <c r="A26" s="96" t="inlineStr">
        <is>
          <t>Counts:</t>
        </is>
      </c>
      <c r="B26" s="96" t="str">
        <f>COUNTIF(A4:A25,"V*")&amp;" videos, "&amp;COUNTIF(A4:A25,"S*")&amp;" statics, "&amp;COUNTIF(A4:A25,"C*")&amp;" carousels, "&amp;COUNTIF(A4:A25,"L*")&amp;" LinkedIn document, "&amp;COUNTIF(A4:A25,"G*")&amp;" Google ad sets"</f>
        <v>10 videos, 6 statics, 3 carousels, 1 LinkedIn document, 2 Google ad sets</v>
      </c>
    </row>
    <row r="28">
      <c r="A28" s="69" t="inlineStr">
        <is>
          <t>Creative release calendar</t>
        </is>
      </c>
    </row>
    <row r="29">
      <c r="A29" s="63" t="inlineStr"/>
      <c r="B29" s="63" t="inlineStr">
        <is>
          <t>Date</t>
        </is>
      </c>
      <c r="C29" s="63" t="inlineStr">
        <is>
          <t>Batch</t>
        </is>
      </c>
      <c r="D29" s="63" t="inlineStr"/>
      <c r="E29" s="63" t="inlineStr"/>
      <c r="F29" s="63" t="inlineStr"/>
      <c r="G29" s="63" t="inlineStr">
        <is>
          <t>What goes live</t>
        </is>
      </c>
    </row>
    <row r="30">
      <c r="A30" s="66" t="inlineStr"/>
      <c r="B30" s="126" t="n">
        <v>46304</v>
      </c>
      <c r="C30" s="67" t="inlineStr">
        <is>
          <t>Launch (test)</t>
        </is>
      </c>
      <c r="D30" s="64" t="n"/>
      <c r="E30" s="64" t="n"/>
      <c r="F30" s="65" t="n"/>
      <c r="G30" s="66" t="inlineStr">
        <is>
          <t>V1, V2, V3, V4, V5, S1, S2, S3, C1, L1, G1, G2: 12 creatives across 3 platforms</t>
        </is>
      </c>
      <c r="H30" s="64" t="n"/>
      <c r="I30" s="64" t="n"/>
      <c r="J30" s="64" t="n"/>
      <c r="K30" s="65" t="n"/>
    </row>
    <row r="31">
      <c r="A31" s="66" t="inlineStr"/>
      <c r="B31" s="126" t="n">
        <v>46309</v>
      </c>
      <c r="C31" s="67" t="inlineStr">
        <is>
          <t>Refresh 1</t>
        </is>
      </c>
      <c r="D31" s="64" t="n"/>
      <c r="E31" s="64" t="n"/>
      <c r="F31" s="65" t="n"/>
      <c r="G31" s="66" t="inlineStr">
        <is>
          <t>V6, V7, S4, C2 + pause the bottom 30%</t>
        </is>
      </c>
      <c r="H31" s="64" t="n"/>
      <c r="I31" s="64" t="n"/>
      <c r="J31" s="64" t="n"/>
      <c r="K31" s="65" t="n"/>
    </row>
    <row r="32">
      <c r="A32" s="66" t="inlineStr"/>
      <c r="B32" s="126" t="n">
        <v>46313</v>
      </c>
      <c r="C32" s="67" t="inlineStr">
        <is>
          <t>Refresh 2</t>
        </is>
      </c>
      <c r="D32" s="64" t="n"/>
      <c r="E32" s="64" t="n"/>
      <c r="F32" s="65" t="n"/>
      <c r="G32" s="66" t="inlineStr">
        <is>
          <t>V8, S6, C3 + new hooks on the best video</t>
        </is>
      </c>
      <c r="H32" s="64" t="n"/>
      <c r="I32" s="64" t="n"/>
      <c r="J32" s="64" t="n"/>
      <c r="K32" s="65" t="n"/>
    </row>
    <row r="33">
      <c r="A33" s="66" t="inlineStr"/>
      <c r="B33" s="126" t="n">
        <v>46316</v>
      </c>
      <c r="C33" s="67" t="inlineStr">
        <is>
          <t>Refresh 3</t>
        </is>
      </c>
      <c r="D33" s="64" t="n"/>
      <c r="E33" s="64" t="n"/>
      <c r="F33" s="65" t="n"/>
      <c r="G33" s="66" t="inlineStr">
        <is>
          <t>V9 bumper + 2 new hook versions of the top 2 ads</t>
        </is>
      </c>
      <c r="H33" s="64" t="n"/>
      <c r="I33" s="64" t="n"/>
      <c r="J33" s="64" t="n"/>
      <c r="K33" s="65" t="n"/>
    </row>
    <row r="34">
      <c r="A34" s="66" t="inlineStr"/>
      <c r="B34" s="126" t="n">
        <v>46319</v>
      </c>
      <c r="C34" s="67" t="inlineStr">
        <is>
          <t>Last call</t>
        </is>
      </c>
      <c r="D34" s="64" t="n"/>
      <c r="E34" s="64" t="n"/>
      <c r="F34" s="65" t="n"/>
      <c r="G34" s="66" t="inlineStr">
        <is>
          <t>V10 and S5 countdowns, retargeting-heavy</t>
        </is>
      </c>
      <c r="H34" s="64" t="n"/>
      <c r="I34" s="64" t="n"/>
      <c r="J34" s="64" t="n"/>
      <c r="K34" s="65" t="n"/>
    </row>
    <row r="36">
      <c r="A36" s="69" t="inlineStr">
        <is>
          <t>Production cost (estimates; get quotes)</t>
        </is>
      </c>
    </row>
    <row r="37">
      <c r="A37" s="63" t="inlineStr"/>
      <c r="B37" s="63" t="inlineStr">
        <is>
          <t>Item</t>
        </is>
      </c>
      <c r="C37" s="63" t="inlineStr">
        <is>
          <t>Qty</t>
        </is>
      </c>
      <c r="D37" s="63" t="inlineStr">
        <is>
          <t>Rate (₹)</t>
        </is>
      </c>
      <c r="E37" s="63" t="inlineStr"/>
      <c r="F37" s="63" t="inlineStr">
        <is>
          <t>Cost (₹)</t>
        </is>
      </c>
    </row>
    <row r="38">
      <c r="A38" s="66" t="inlineStr"/>
      <c r="B38" s="66" t="inlineStr">
        <is>
          <t>Freelance video editor: VSL + 9 short videos, all sizes, captions</t>
        </is>
      </c>
      <c r="C38" s="76" t="n">
        <v>1</v>
      </c>
      <c r="D38" s="83" t="n">
        <v>25000</v>
      </c>
      <c r="E38" s="65" t="n"/>
      <c r="F38" s="81">
        <f>C38*D38</f>
        <v>25000.0</v>
      </c>
    </row>
    <row r="39">
      <c r="A39" s="66" t="inlineStr"/>
      <c r="B39" s="66" t="inlineStr">
        <is>
          <t>Freelance designer: 6 statics, 3 carousels, LinkedIn document, thumbnails</t>
        </is>
      </c>
      <c r="C39" s="76" t="n">
        <v>1</v>
      </c>
      <c r="D39" s="83" t="n">
        <v>12000</v>
      </c>
      <c r="E39" s="65" t="n"/>
      <c r="F39" s="81">
        <f>C39*D39</f>
        <v>12000.0</v>
      </c>
    </row>
    <row r="40">
      <c r="A40" s="66" t="inlineStr"/>
      <c r="B40" s="66" t="inlineStr">
        <is>
          <t>Lapel mic + ring light (one-time, reused for the series)</t>
        </is>
      </c>
      <c r="C40" s="76" t="n">
        <v>1</v>
      </c>
      <c r="D40" s="83" t="n">
        <v>7000</v>
      </c>
      <c r="E40" s="65" t="n"/>
      <c r="F40" s="81">
        <f>C40*D40</f>
        <v>7000.0</v>
      </c>
    </row>
    <row r="41">
      <c r="A41" s="87" t="inlineStr"/>
      <c r="B41" s="84" t="inlineStr">
        <is>
          <t>Total production</t>
        </is>
      </c>
      <c r="C41" s="87" t="inlineStr"/>
      <c r="D41" s="87" t="inlineStr"/>
      <c r="E41" s="65" t="n"/>
      <c r="F41" s="86">
        <f>SUM(F38:F40)</f>
        <v>44000.0</v>
      </c>
    </row>
    <row r="42">
      <c r="A42" s="74" t="inlineStr">
        <is>
          <t>Every video gets burned-in captions: most people watch Reels with the sound off.</t>
        </is>
      </c>
    </row>
  </sheetData>
  <mergeCells count="14">
    <mergeCell ref="C31:F31"/>
    <mergeCell ref="G30:K30"/>
    <mergeCell ref="G34:K34"/>
    <mergeCell ref="C34:F34"/>
    <mergeCell ref="G32:K32"/>
    <mergeCell ref="G33:K33"/>
    <mergeCell ref="C30:F30"/>
    <mergeCell ref="D38:E38"/>
    <mergeCell ref="D41:E41"/>
    <mergeCell ref="C33:F33"/>
    <mergeCell ref="D40:E40"/>
    <mergeCell ref="C32:F32"/>
    <mergeCell ref="G31:K31"/>
    <mergeCell ref="D39:E39"/>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27"/>
  <sheetViews>
    <sheetView showGridLines="0" tabSelected="0" workbookViewId="0">
      <selection activeCell="A1" sqref="A1"/>
    </sheetView>
  </sheetViews>
  <sheetFormatPr baseColWidth="8" defaultRowHeight="15"/>
  <cols>
    <col width="5" customWidth="1" min="1" max="1"/>
    <col width="34" customWidth="1" min="2" max="2"/>
    <col width="52" customWidth="1" min="3" max="3"/>
    <col width="12" customWidth="1" min="4" max="4"/>
    <col width="14" customWidth="1" min="5" max="5"/>
    <col width="52" customWidth="1" min="6" max="6"/>
  </cols>
  <sheetData>
    <row r="1">
      <c r="A1" s="62" t="inlineStr">
        <is>
          <t>VSL funnel: from ad to booked call</t>
        </is>
      </c>
    </row>
    <row r="2">
      <c r="A2" s="74" t="inlineStr">
        <is>
          <t>VSL = video sales letter: a 3–3.5 minute video at the top of the landing page that sells the webinar. Full script: Video Scripts tab (V1).</t>
        </is>
      </c>
    </row>
    <row r="3">
      <c r="A3" s="63" t="inlineStr">
        <is>
          <t>#</t>
        </is>
      </c>
      <c r="B3" s="63" t="inlineStr">
        <is>
          <t>Step</t>
        </is>
      </c>
      <c r="C3" s="63" t="inlineStr">
        <is>
          <t>What the person sees or does</t>
        </is>
      </c>
      <c r="D3" s="63" t="inlineStr">
        <is>
          <t>Rate</t>
        </is>
      </c>
      <c r="E3" s="63" t="inlineStr">
        <is>
          <t>People</t>
        </is>
      </c>
      <c r="F3" s="63" t="inlineStr">
        <is>
          <t>Tool / note</t>
        </is>
      </c>
    </row>
    <row r="4">
      <c r="A4" s="66" t="n">
        <v>1</v>
      </c>
      <c r="B4" s="67" t="inlineStr">
        <is>
          <t>Sees an ad</t>
        </is>
      </c>
      <c r="C4" s="66" t="inlineStr">
        <is>
          <t>LinkedIn, Meta or Google ad (Creatives tab)</t>
        </is>
      </c>
      <c r="D4" s="98" t="n"/>
      <c r="E4" s="78">
        <f>Funnel!B12</f>
        <v>977800.0</v>
      </c>
      <c r="F4" s="66" t="inlineStr">
        <is>
          <t>Rate n/a</t>
        </is>
      </c>
    </row>
    <row r="5">
      <c r="A5" s="66" t="n">
        <v>2</v>
      </c>
      <c r="B5" s="67" t="inlineStr">
        <is>
          <t>Clicks to the VSL page</t>
        </is>
      </c>
      <c r="C5" s="66" t="inlineStr">
        <is>
          <t>Landing page with the VSL on top</t>
        </is>
      </c>
      <c r="D5" s="99">
        <f>Funnel!B11</f>
        <v>0.006</v>
      </c>
      <c r="E5" s="78">
        <f>Funnel!B10</f>
        <v>5867.0</v>
      </c>
      <c r="F5" s="66" t="inlineStr">
        <is>
          <t>Rate = ad click-through rate</t>
        </is>
      </c>
    </row>
    <row r="6">
      <c r="A6" s="66" t="n">
        <v>3</v>
      </c>
      <c r="B6" s="67" t="inlineStr">
        <is>
          <t>Presses play on the VSL</t>
        </is>
      </c>
      <c r="C6" s="66" t="inlineStr">
        <is>
          <t>Autoplay muted with captions + big play button</t>
        </is>
      </c>
      <c r="D6" s="77" t="n">
        <v>0.6</v>
      </c>
      <c r="E6" s="78">
        <f>ROUND(E5*D6,0)</f>
        <v>3520.0</v>
      </c>
      <c r="F6" s="66" t="inlineStr">
        <is>
          <t>Estimate</t>
        </is>
      </c>
    </row>
    <row r="7">
      <c r="A7" s="66" t="n">
        <v>4</v>
      </c>
      <c r="B7" s="67" t="inlineStr">
        <is>
          <t>Watches 50%+ of the VSL</t>
        </is>
      </c>
      <c r="C7" s="66" t="inlineStr">
        <is>
          <t>Reaches the 'what you get' part</t>
        </is>
      </c>
      <c r="D7" s="77" t="n">
        <v>0.45</v>
      </c>
      <c r="E7" s="78">
        <f>ROUND(E6*D7,0)</f>
        <v>1584.0</v>
      </c>
      <c r="F7" s="66" t="inlineStr">
        <is>
          <t>Estimate. Everyone from here is retargeted.</t>
        </is>
      </c>
    </row>
    <row r="8">
      <c r="A8" s="66" t="n">
        <v>5</v>
      </c>
      <c r="B8" s="67" t="inlineStr">
        <is>
          <t>Registers</t>
        </is>
      </c>
      <c r="C8" s="66" t="inlineStr">
        <is>
          <t>Form under the video, repeated at the end</t>
        </is>
      </c>
      <c r="D8" s="98">
        <f>Funnel!B9</f>
        <v>0.15</v>
      </c>
      <c r="E8" s="78">
        <f>ROUND(E5*D8,0)</f>
        <v>880.0</v>
      </c>
      <c r="F8" s="66" t="inlineStr">
        <is>
          <t>Rate = landing page conversion (of all visitors)</t>
        </is>
      </c>
    </row>
    <row r="9">
      <c r="A9" s="66" t="n">
        <v>6</v>
      </c>
      <c r="B9" s="67" t="inlineStr">
        <is>
          <t>Thank-you page actions</t>
        </is>
      </c>
      <c r="C9" s="66" t="inlineStr">
        <is>
          <t>Downloads checklist, adds to calendar, opts in to WhatsApp</t>
        </is>
      </c>
      <c r="D9" s="77" t="n">
        <v>0.6</v>
      </c>
      <c r="E9" s="78">
        <f>ROUND(E8*D9,0)</f>
        <v>528.0</v>
      </c>
      <c r="F9" s="66" t="inlineStr">
        <is>
          <t>Estimate: adds to calendar</t>
        </is>
      </c>
    </row>
    <row r="10">
      <c r="A10" s="66" t="n">
        <v>7</v>
      </c>
      <c r="B10" s="67" t="inlineStr">
        <is>
          <t>Attends live</t>
        </is>
      </c>
      <c r="C10" s="66" t="inlineStr">
        <is>
          <t>Email + WhatsApp sequence (Email &amp; WhatsApp tab)</t>
        </is>
      </c>
      <c r="D10" s="98">
        <f>Funnel!B5</f>
        <v>0.25</v>
      </c>
      <c r="E10" s="78">
        <f>ROUND(Funnel!B6*D10,0)</f>
        <v>200.0</v>
      </c>
      <c r="F10" s="66" t="inlineStr">
        <is>
          <t>Based on registrations needed</t>
        </is>
      </c>
    </row>
    <row r="11">
      <c r="A11" s="66" t="n">
        <v>8</v>
      </c>
      <c r="B11" s="67" t="inlineStr">
        <is>
          <t>Stays till the end</t>
        </is>
      </c>
      <c r="C11" s="66" t="inlineStr">
        <is>
          <t>Lucky draw code at minute 40, Guardrails Pack, bill teardown</t>
        </is>
      </c>
      <c r="D11" s="77" t="n">
        <v>0.65</v>
      </c>
      <c r="E11" s="78">
        <f>ROUND(E10*D11,0)</f>
        <v>130.0</v>
      </c>
      <c r="F11" s="66" t="inlineStr">
        <is>
          <t>Estimate</t>
        </is>
      </c>
    </row>
    <row r="12">
      <c r="A12" s="66" t="n">
        <v>9</v>
      </c>
      <c r="B12" s="67" t="inlineStr">
        <is>
          <t>Books a free Cloud Cost Review</t>
        </is>
      </c>
      <c r="C12" s="66" t="inlineStr">
        <is>
          <t>Booking link in chat + thank-you email</t>
        </is>
      </c>
      <c r="D12" s="77" t="n">
        <v>0.12</v>
      </c>
      <c r="E12" s="78">
        <f>ROUND(E11*D12,0)</f>
        <v>16.0</v>
      </c>
      <c r="F12" s="66" t="inlineStr">
        <is>
          <t>Estimate (20 slots offered)</t>
        </is>
      </c>
    </row>
    <row r="14">
      <c r="A14" s="69" t="inlineStr">
        <is>
          <t>Landing page, top to bottom</t>
        </is>
      </c>
    </row>
    <row r="15">
      <c r="A15" s="73" t="inlineStr">
        <is>
          <t>1. Tag: 'Think Like a CTO · Episode 1'. Headline: 'AI Is Eating Your Cloud Bill: How SRE &amp; DevOps Teams Cut Kubernetes and AI Costs'. Date, time and 'Free' visible without scrolling.</t>
        </is>
      </c>
    </row>
    <row r="16">
      <c r="A16" s="73" t="inlineStr">
        <is>
          <t>2. The VSL (V1), autoplay muted with captions.</t>
        </is>
      </c>
    </row>
    <row r="17">
      <c r="A17" s="73" t="inlineStr">
        <is>
          <t>3. Form right under the video: name, work email, phone (for WhatsApp), job title, company, company size, monthly cloud bill range, 'your cost question' (optional), WhatsApp opt-in box, data-use notice.</t>
        </is>
      </c>
    </row>
    <row r="18">
      <c r="A18" s="73" t="inlineStr">
        <is>
          <t>4. 'What you get': checklist now; playbook, certificate, lucky draw and Guardrails Pack (first 300) for live attendees.</t>
        </is>
      </c>
    </row>
    <row r="19">
      <c r="A19" s="73" t="inlineStr">
        <is>
          <t>5. Speakers, agenda (45 min + Q&amp;A), 'Who it's for / not for', then the form repeated. No menu or links that take people away.</t>
        </is>
      </c>
    </row>
    <row r="20">
      <c r="A20" s="73" t="inlineStr">
        <is>
          <t>6. Tracking: Meta Pixel 'Lead', LinkedIn Insight Tag conversion, Google Ads conversion and UTMs fire only on a real form submit.</t>
        </is>
      </c>
    </row>
    <row r="22">
      <c r="A22" s="69" t="inlineStr">
        <is>
          <t>Thank-you page</t>
        </is>
      </c>
    </row>
    <row r="23">
      <c r="A23" s="73" t="inlineStr">
        <is>
          <t>1. 'You're in.' + Add to Google / Outlook calendar buttons.</t>
        </is>
      </c>
    </row>
    <row r="24">
      <c r="A24" s="73" t="inlineStr">
        <is>
          <t>2. Download the 27-point Cost Leak Checklist.</t>
        </is>
      </c>
    </row>
    <row r="25">
      <c r="A25" s="73" t="inlineStr">
        <is>
          <t>3. Join the WhatsApp community (for reminders and the join link).</t>
        </is>
      </c>
    </row>
    <row r="26">
      <c r="A26" s="73" t="inlineStr">
        <is>
          <t>4. 'Invite 2 teammates' share link (extra lucky draw entry).</t>
        </is>
      </c>
    </row>
    <row r="27">
      <c r="A27" s="73" t="inlineStr">
        <is>
          <t>5. 15-second CTO clip: 'See you on the 27th. Bring your bill question.'</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H25"/>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18" customWidth="1" min="3" max="3"/>
    <col width="26" customWidth="1" min="4" max="4"/>
    <col width="22" customWidth="1" min="5" max="5"/>
    <col width="36" customWidth="1" min="6" max="6"/>
    <col width="64" customWidth="1" min="7" max="7"/>
    <col width="20" customWidth="1" min="8" max="8"/>
  </cols>
  <sheetData>
    <row r="1">
      <c r="A1" s="62" t="inlineStr">
        <is>
          <t>After registration: email and WhatsApp sequence (uses the form data)</t>
        </is>
      </c>
    </row>
    <row r="2">
      <c r="A2" s="74" t="inlineStr">
        <is>
          <t>Ads bring people in; this sequence gets them to show up. WhatsApp only for people who ticked the opt-in; templates need Meta approval 3–5 days ahead.</t>
        </is>
      </c>
    </row>
    <row r="3">
      <c r="A3" s="63" t="inlineStr">
        <is>
          <t>#</t>
        </is>
      </c>
      <c r="B3" s="63" t="inlineStr">
        <is>
          <t>When</t>
        </is>
      </c>
      <c r="C3" s="63" t="inlineStr">
        <is>
          <t>Channel</t>
        </is>
      </c>
      <c r="D3" s="63" t="inlineStr">
        <is>
          <t>Who (segment)</t>
        </is>
      </c>
      <c r="E3" s="63" t="inlineStr">
        <is>
          <t>Goal</t>
        </is>
      </c>
      <c r="F3" s="63" t="inlineStr">
        <is>
          <t>Subject / template</t>
        </is>
      </c>
      <c r="G3" s="63" t="inlineStr">
        <is>
          <t>Message</t>
        </is>
      </c>
      <c r="H3" s="63" t="inlineStr">
        <is>
          <t>Button / CTA</t>
        </is>
      </c>
    </row>
    <row r="4">
      <c r="A4" s="66" t="n">
        <v>1</v>
      </c>
      <c r="B4" s="67" t="inlineStr">
        <is>
          <t>Right after registering</t>
        </is>
      </c>
      <c r="C4" s="66" t="inlineStr">
        <is>
          <t>Email + WhatsApp</t>
        </is>
      </c>
      <c r="D4" s="66" t="inlineStr">
        <is>
          <t>All</t>
        </is>
      </c>
      <c r="E4" s="66" t="inlineStr">
        <is>
          <t>Confirm + deliver checklist</t>
        </is>
      </c>
      <c r="F4" s="66" t="inlineStr">
        <is>
          <t>You're in: AI Is Eating Your Cloud Bill (27 Oct, 4 PM)</t>
        </is>
      </c>
      <c r="G4" s="66" t="inlineStr">
        <is>
          <t>Hi {first_name}, you're registered for Tue 27 Oct, 4 PM IST. Here's your 27-point Cost Leak Checklist: {link}. Add the session to your calendar so you don't miss the live bill teardown.</t>
        </is>
      </c>
      <c r="H4" s="66" t="inlineStr">
        <is>
          <t>Add to calendar · Download checklist</t>
        </is>
      </c>
    </row>
    <row r="5">
      <c r="A5" s="66" t="n">
        <v>2</v>
      </c>
      <c r="B5" s="67" t="inlineStr">
        <is>
          <t>Next day</t>
        </is>
      </c>
      <c r="C5" s="66" t="inlineStr">
        <is>
          <t>WhatsApp</t>
        </is>
      </c>
      <c r="D5" s="66" t="inlineStr">
        <is>
          <t>Registrants who didn't send a bill question</t>
        </is>
      </c>
      <c r="E5" s="66" t="inlineStr">
        <is>
          <t>Get bill questions (drives show-up)</t>
        </is>
      </c>
      <c r="F5" s="66" t="inlineStr">
        <is>
          <t>Template: bill_teardown_invite</t>
        </is>
      </c>
      <c r="G5" s="66" t="inlineStr">
        <is>
          <t>Hi {first_name}, want your cloud bill torn down live? Reply with your monthly bill range and top 3 services. We pick 3 and hide all names.</t>
        </is>
      </c>
      <c r="H5" s="66" t="inlineStr">
        <is>
          <t>Reply / Send question</t>
        </is>
      </c>
    </row>
    <row r="6">
      <c r="A6" s="66" t="n">
        <v>3</v>
      </c>
      <c r="B6" s="67" t="inlineStr">
        <is>
          <t>Tue 20-Oct (T-7)</t>
        </is>
      </c>
      <c r="C6" s="66" t="inlineStr">
        <is>
          <t>Email</t>
        </is>
      </c>
      <c r="D6" s="66" t="inlineStr">
        <is>
          <t>All</t>
        </is>
      </c>
      <c r="E6" s="66" t="inlineStr">
        <is>
          <t>Value: leak #2 preview</t>
        </is>
      </c>
      <c r="F6" s="66" t="inlineStr">
        <is>
          <t>The log bill that's bigger than your app bill</t>
        </is>
      </c>
      <c r="G6" s="66" t="inlineStr">
        <is>
          <t>Short email: leak #2 (log storage) explained in 3 lines + 1 command to check it. 'The other 3 leaks are live only on Tuesday 27th.'</t>
        </is>
      </c>
      <c r="H6" s="66" t="inlineStr">
        <is>
          <t>Join on 27 Oct</t>
        </is>
      </c>
    </row>
    <row r="7">
      <c r="A7" s="66" t="n">
        <v>4</v>
      </c>
      <c r="B7" s="67" t="inlineStr">
        <is>
          <t>Thu 22-Oct (T-5)</t>
        </is>
      </c>
      <c r="C7" s="66" t="inlineStr">
        <is>
          <t>WhatsApp</t>
        </is>
      </c>
      <c r="D7" s="66" t="inlineStr">
        <is>
          <t>All</t>
        </is>
      </c>
      <c r="E7" s="66" t="inlineStr">
        <is>
          <t>Engagement</t>
        </is>
      </c>
      <c r="F7" s="66" t="inlineStr">
        <is>
          <t>Template: checklist_nudge</t>
        </is>
      </c>
      <c r="G7" s="66" t="inlineStr">
        <is>
          <t>Hi {first_name}, did you try the checklist? Most teams fail checks 3, 7 and 12. Bring your results on Tuesday and ask the CTO live.</t>
        </is>
      </c>
      <c r="H7" s="66" t="inlineStr">
        <is>
          <t>Open checklist</t>
        </is>
      </c>
    </row>
    <row r="8">
      <c r="A8" s="66" t="n">
        <v>5</v>
      </c>
      <c r="B8" s="67" t="inlineStr">
        <is>
          <t>Sat 24-Oct (T-3)</t>
        </is>
      </c>
      <c r="C8" s="66" t="inlineStr">
        <is>
          <t>Email</t>
        </is>
      </c>
      <c r="D8" s="66" t="inlineStr">
        <is>
          <t>All</t>
        </is>
      </c>
      <c r="E8" s="66" t="inlineStr">
        <is>
          <t>Agenda + speakers</t>
        </is>
      </c>
      <c r="F8" s="66" t="inlineStr">
        <is>
          <t>Agenda for Tuesday + is your bill being torn down?</t>
        </is>
      </c>
      <c r="G8" s="66" t="inlineStr">
        <is>
          <t>Agenda in 4 bullets, speaker photos, 'questions picked so far', reminder of the certificate and the lucky draw for live attendees.</t>
        </is>
      </c>
      <c r="H8" s="66" t="inlineStr">
        <is>
          <t>Add to calendar</t>
        </is>
      </c>
    </row>
    <row r="9">
      <c r="A9" s="66" t="n">
        <v>6</v>
      </c>
      <c r="B9" s="67" t="inlineStr">
        <is>
          <t>Mon 26-Oct (T-1), 11 AM</t>
        </is>
      </c>
      <c r="C9" s="66" t="inlineStr">
        <is>
          <t>Email + WhatsApp</t>
        </is>
      </c>
      <c r="D9" s="66" t="inlineStr">
        <is>
          <t>All</t>
        </is>
      </c>
      <c r="E9" s="66" t="inlineStr">
        <is>
          <t>Commitment</t>
        </is>
      </c>
      <c r="F9" s="66" t="inlineStr">
        <is>
          <t>Tomorrow 4 PM: AI Is Eating Your Cloud Bill</t>
        </is>
      </c>
      <c r="G9" s="66" t="inlineStr">
        <is>
          <t>Tomorrow at 4 PM IST. Live bill teardown, the full playbook and a ₹5,000 lucky draw for people who join live. Your join link: {zoom_link}</t>
        </is>
      </c>
      <c r="H9" s="66" t="inlineStr">
        <is>
          <t>Join link</t>
        </is>
      </c>
    </row>
    <row r="10">
      <c r="A10" s="66" t="n">
        <v>7</v>
      </c>
      <c r="B10" s="67" t="inlineStr">
        <is>
          <t>Mon 26-Oct (T-1)</t>
        </is>
      </c>
      <c r="C10" s="66" t="inlineStr">
        <is>
          <t>Phone call (sales)</t>
        </is>
      </c>
      <c r="D10" s="66" t="inlineStr">
        <is>
          <t>High-fit: company 50+ staff and bill above ₹5 lakh/month</t>
        </is>
      </c>
      <c r="E10" s="66" t="inlineStr">
        <is>
          <t>Personal invite</t>
        </is>
      </c>
      <c r="F10" s="66" t="inlineStr">
        <is>
          <t>Call script</t>
        </is>
      </c>
      <c r="G10" s="66" t="inlineStr">
        <is>
          <t>"Hi {first_name}, I'm from Zarthi. You registered for tomorrow's session. Your question is on our list. Can we expect you at 4?"</t>
        </is>
      </c>
      <c r="H10" s="66" t="inlineStr">
        <is>
          <t>Confirm attendance</t>
        </is>
      </c>
    </row>
    <row r="11">
      <c r="A11" s="66" t="n">
        <v>8</v>
      </c>
      <c r="B11" s="67" t="inlineStr">
        <is>
          <t>Tue 27-Oct, 3:00 PM (T-1 hr)</t>
        </is>
      </c>
      <c r="C11" s="66" t="inlineStr">
        <is>
          <t>WhatsApp + email</t>
        </is>
      </c>
      <c r="D11" s="66" t="inlineStr">
        <is>
          <t>All</t>
        </is>
      </c>
      <c r="E11" s="66" t="inlineStr">
        <is>
          <t>Show-up</t>
        </is>
      </c>
      <c r="F11" s="66" t="inlineStr">
        <is>
          <t>Template: starting_in_1_hour</t>
        </is>
      </c>
      <c r="G11" s="66" t="inlineStr">
        <is>
          <t>We start in 1 hour. Same link: {zoom_link}. Bill teardown is at the end, so stay till 4:45.</t>
        </is>
      </c>
      <c r="H11" s="66" t="inlineStr">
        <is>
          <t>Join link</t>
        </is>
      </c>
    </row>
    <row r="12">
      <c r="A12" s="66" t="n">
        <v>9</v>
      </c>
      <c r="B12" s="67" t="inlineStr">
        <is>
          <t>Tue 27-Oct, 3:55 PM</t>
        </is>
      </c>
      <c r="C12" s="66" t="inlineStr">
        <is>
          <t>WhatsApp</t>
        </is>
      </c>
      <c r="D12" s="66" t="inlineStr">
        <is>
          <t>All</t>
        </is>
      </c>
      <c r="E12" s="66" t="inlineStr">
        <is>
          <t>Show-up</t>
        </is>
      </c>
      <c r="F12" s="66" t="inlineStr">
        <is>
          <t>Template: going_live</t>
        </is>
      </c>
      <c r="G12" s="66" t="inlineStr">
        <is>
          <t>Going live in 5 minutes: {zoom_link}</t>
        </is>
      </c>
      <c r="H12" s="66" t="inlineStr">
        <is>
          <t>Join now</t>
        </is>
      </c>
    </row>
    <row r="13">
      <c r="A13" s="66" t="n">
        <v>10</v>
      </c>
      <c r="B13" s="67" t="inlineStr">
        <is>
          <t>Tue 27-Oct, 4:05 PM</t>
        </is>
      </c>
      <c r="C13" s="66" t="inlineStr">
        <is>
          <t>WhatsApp + email</t>
        </is>
      </c>
      <c r="D13" s="66" t="inlineStr">
        <is>
          <t>Registered but not joined</t>
        </is>
      </c>
      <c r="E13" s="66" t="inlineStr">
        <is>
          <t>Rescue no-shows</t>
        </is>
      </c>
      <c r="F13" s="66" t="inlineStr">
        <is>
          <t>Template: we_have_started</t>
        </is>
      </c>
      <c r="G13" s="66" t="inlineStr">
        <is>
          <t>We've started! Leak #1 is on screen now and the bill teardown is at 4:30. Join: {zoom_link}</t>
        </is>
      </c>
      <c r="H13" s="66" t="inlineStr">
        <is>
          <t>Join now</t>
        </is>
      </c>
    </row>
    <row r="14">
      <c r="A14" s="66" t="n">
        <v>11</v>
      </c>
      <c r="B14" s="67" t="inlineStr">
        <is>
          <t>Tue 27-Oct, 7 PM</t>
        </is>
      </c>
      <c r="C14" s="66" t="inlineStr">
        <is>
          <t>Email</t>
        </is>
      </c>
      <c r="D14" s="66" t="inlineStr">
        <is>
          <t>Attended</t>
        </is>
      </c>
      <c r="E14" s="66" t="inlineStr">
        <is>
          <t>Deliver + convert</t>
        </is>
      </c>
      <c r="F14" s="66" t="inlineStr">
        <is>
          <t>Your playbook, certificate and 1:1 review link</t>
        </is>
      </c>
      <c r="G14" s="66" t="inlineStr">
        <is>
          <t>Thank you for joining. Playbook: {link}. Certificate: {link} (if you stayed 35+ min). Book your free 30-min Cloud Cost Review: {booking_link} (20 slots).</t>
        </is>
      </c>
      <c r="H14" s="66" t="inlineStr">
        <is>
          <t>Book review</t>
        </is>
      </c>
    </row>
    <row r="15">
      <c r="A15" s="66" t="n">
        <v>12</v>
      </c>
      <c r="B15" s="67" t="inlineStr">
        <is>
          <t>Tue 27-Oct, 7 PM</t>
        </is>
      </c>
      <c r="C15" s="66" t="inlineStr">
        <is>
          <t>Email + WhatsApp</t>
        </is>
      </c>
      <c r="D15" s="66" t="inlineStr">
        <is>
          <t>Registered, did not attend</t>
        </is>
      </c>
      <c r="E15" s="66" t="inlineStr">
        <is>
          <t>Recover</t>
        </is>
      </c>
      <c r="F15" s="66" t="inlineStr">
        <is>
          <t>Missed it? Here's the recording</t>
        </is>
      </c>
      <c r="G15" s="66" t="inlineStr">
        <is>
          <t>Recording: {link}. Watch leak #3 from minute 18. Want help with your own bill? Book a free review: {booking_link}</t>
        </is>
      </c>
      <c r="H15" s="66" t="inlineStr">
        <is>
          <t>Watch recording</t>
        </is>
      </c>
    </row>
    <row r="16">
      <c r="A16" s="66" t="n">
        <v>13</v>
      </c>
      <c r="B16" s="67" t="inlineStr">
        <is>
          <t>Thu 29 / Fri 30-Oct</t>
        </is>
      </c>
      <c r="C16" s="66" t="inlineStr">
        <is>
          <t>Phone + email (sales)</t>
        </is>
      </c>
      <c r="D16" s="66" t="inlineStr">
        <is>
          <t>Attended + high-fit</t>
        </is>
      </c>
      <c r="E16" s="66" t="inlineStr">
        <is>
          <t>Pipeline</t>
        </is>
      </c>
      <c r="F16" s="66" t="inlineStr">
        <is>
          <t>Follow-up call</t>
        </is>
      </c>
      <c r="G16" s="66" t="inlineStr">
        <is>
          <t>Sales calls within 48 hours: reference their question or teardown, offer the cost review.</t>
        </is>
      </c>
      <c r="H16" s="66" t="inlineStr">
        <is>
          <t>Book review</t>
        </is>
      </c>
    </row>
    <row r="18">
      <c r="A18" s="69" t="inlineStr">
        <is>
          <t>Segments from the registration form</t>
        </is>
      </c>
    </row>
    <row r="19">
      <c r="A19" s="63" t="inlineStr">
        <is>
          <t>#</t>
        </is>
      </c>
      <c r="B19" s="63" t="inlineStr">
        <is>
          <t>Segment</t>
        </is>
      </c>
      <c r="C19" s="63" t="inlineStr">
        <is>
          <t>Rule (form fields)</t>
        </is>
      </c>
      <c r="D19" s="63" t="inlineStr"/>
      <c r="E19" s="63" t="inlineStr"/>
      <c r="F19" s="63" t="inlineStr"/>
      <c r="G19" s="63" t="inlineStr">
        <is>
          <t>Extra action</t>
        </is>
      </c>
      <c r="H19" s="63" t="inlineStr"/>
    </row>
    <row r="20">
      <c r="A20" s="66" t="n">
        <v>1</v>
      </c>
      <c r="B20" s="67" t="inlineStr">
        <is>
          <t>High-fit</t>
        </is>
      </c>
      <c r="C20" s="66" t="inlineStr">
        <is>
          <t>Company 50+ staff AND bill range above ₹5 lakh/month (from the form)</t>
        </is>
      </c>
      <c r="D20" s="64" t="n"/>
      <c r="E20" s="64" t="n"/>
      <c r="F20" s="65" t="n"/>
      <c r="G20" s="66" t="inlineStr">
        <is>
          <t>Sales phone call on T-1; priority for the free review</t>
        </is>
      </c>
      <c r="H20" s="65" t="n"/>
    </row>
    <row r="21">
      <c r="A21" s="66" t="n">
        <v>2</v>
      </c>
      <c r="B21" s="67" t="inlineStr">
        <is>
          <t>Engineer, mid-fit</t>
        </is>
      </c>
      <c r="C21" s="66" t="inlineStr">
        <is>
          <t>Job title contains Engineer/Developer/SRE/DevOps; company 50+</t>
        </is>
      </c>
      <c r="D21" s="64" t="n"/>
      <c r="E21" s="64" t="n"/>
      <c r="F21" s="65" t="n"/>
      <c r="G21" s="66" t="inlineStr">
        <is>
          <t>Standard sequence; push the checklist and community</t>
        </is>
      </c>
      <c r="H21" s="65" t="n"/>
    </row>
    <row r="22">
      <c r="A22" s="66" t="n">
        <v>3</v>
      </c>
      <c r="B22" s="67" t="inlineStr">
        <is>
          <t>Low-fit</t>
        </is>
      </c>
      <c r="C22" s="66" t="inlineStr">
        <is>
          <t>Student, fresher or personal project (from job title / company)</t>
        </is>
      </c>
      <c r="D22" s="64" t="n"/>
      <c r="E22" s="64" t="n"/>
      <c r="F22" s="65" t="n"/>
      <c r="G22" s="66" t="inlineStr">
        <is>
          <t>Email only; excluded from the sales calls</t>
        </is>
      </c>
      <c r="H22" s="65" t="n"/>
    </row>
    <row r="23">
      <c r="A23" s="66" t="n">
        <v>4</v>
      </c>
      <c r="B23" s="67" t="inlineStr">
        <is>
          <t>No-WhatsApp</t>
        </is>
      </c>
      <c r="C23" s="66" t="inlineStr">
        <is>
          <t>Did not tick the WhatsApp opt-in</t>
        </is>
      </c>
      <c r="D23" s="64" t="n"/>
      <c r="E23" s="64" t="n"/>
      <c r="F23" s="65" t="n"/>
      <c r="G23" s="66" t="inlineStr">
        <is>
          <t>Email only (WhatsApp needs explicit opt-in)</t>
        </is>
      </c>
      <c r="H23" s="65" t="n"/>
    </row>
    <row r="25">
      <c r="A25" s="74" t="inlineStr">
        <is>
          <t>Data: store form data in the CRM with consent; tell people on the form how their data is used (DPDP Act). Personal data stays out of ads and retargeting uploads unless consent covers it.</t>
        </is>
      </c>
    </row>
  </sheetData>
  <mergeCells count="8">
    <mergeCell ref="C22:F22"/>
    <mergeCell ref="G21:H21"/>
    <mergeCell ref="G20:H20"/>
    <mergeCell ref="C23:F23"/>
    <mergeCell ref="C20:F20"/>
    <mergeCell ref="C21:F21"/>
    <mergeCell ref="G23:H23"/>
    <mergeCell ref="G22:H22"/>
  </mergeCell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J24"/>
  <sheetViews>
    <sheetView showGridLines="0"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2" customWidth="1" min="3" max="3"/>
    <col width="12" customWidth="1" min="4" max="4"/>
    <col width="12" customWidth="1" min="5" max="5"/>
    <col width="13" customWidth="1" min="6" max="6"/>
    <col width="15" customWidth="1" min="7" max="7"/>
    <col width="16" customWidth="1" min="8" max="8"/>
    <col width="40" customWidth="1" min="9" max="9"/>
    <col width="42" customWidth="1" min="10" max="10"/>
  </cols>
  <sheetData>
    <row r="1">
      <c r="A1" s="62" t="inlineStr">
        <is>
          <t>Daily plan: spend and registration target, 9-Oct to 26-Oct</t>
        </is>
      </c>
    </row>
    <row r="2">
      <c r="A2" s="74" t="inlineStr">
        <is>
          <t>Spend per day comes from the stage table on the Budget tab. 'Registrations by today' is the daily target.</t>
        </is>
      </c>
    </row>
    <row r="3">
      <c r="A3" s="63" t="inlineStr">
        <is>
          <t>Date</t>
        </is>
      </c>
      <c r="B3" s="63" t="inlineStr">
        <is>
          <t>Stage</t>
        </is>
      </c>
      <c r="C3" s="63" t="inlineStr">
        <is>
          <t>Meta (₹)</t>
        </is>
      </c>
      <c r="D3" s="63" t="inlineStr">
        <is>
          <t>LinkedIn (₹)</t>
        </is>
      </c>
      <c r="E3" s="63" t="inlineStr">
        <is>
          <t>Google (₹)</t>
        </is>
      </c>
      <c r="F3" s="63" t="inlineStr">
        <is>
          <t>Total (₹)</t>
        </is>
      </c>
      <c r="G3" s="63" t="inlineStr">
        <is>
          <t>Spend so far (₹)</t>
        </is>
      </c>
      <c r="H3" s="63" t="inlineStr">
        <is>
          <t>Registrations by today</t>
        </is>
      </c>
      <c r="I3" s="63" t="inlineStr">
        <is>
          <t>Creative action</t>
        </is>
      </c>
      <c r="J3" s="63" t="inlineStr">
        <is>
          <t>Review / other</t>
        </is>
      </c>
    </row>
    <row r="4">
      <c r="A4" s="126" t="n">
        <v>46304</v>
      </c>
      <c r="B4" s="66" t="str">
        <f>IF(A4&lt;=Budget!$C$27,"Test",IF(A4&lt;=Budget!$C$28,"Scale","Last call"))</f>
        <v>Test</v>
      </c>
      <c r="C4" s="81">
        <f>IF(A4&lt;=Budget!$C$27,Budget!$H$27/Budget!$D$27,IF(A4&lt;=Budget!$C$28,Budget!$H$28/Budget!$D$28,Budget!$H$29/Budget!$D$29))</f>
        <v>16960.0</v>
      </c>
      <c r="D4" s="81">
        <f>IF(A4&lt;=Budget!$C$27,Budget!$I$27/Budget!$D$27,IF(A4&lt;=Budget!$C$28,Budget!$I$28/Budget!$D$28,Budget!$I$29/Budget!$D$29))</f>
        <v>6000.0</v>
      </c>
      <c r="E4" s="81">
        <f>IF(A4&lt;=Budget!$C$27,Budget!$J$27/Budget!$D$27,IF(A4&lt;=Budget!$C$28,Budget!$J$28/Budget!$D$28,Budget!$J$29/Budget!$D$29))</f>
        <v>6040.0</v>
      </c>
      <c r="F4" s="88">
        <f>SUM(C4:E4)</f>
        <v>29000.0</v>
      </c>
      <c r="G4" s="81">
        <f>SUM($F$4:F4)</f>
        <v>29000.0</v>
      </c>
      <c r="H4" s="100">
        <f>ROUND(Budget!$B$9*G4/Budget!$F$9,0)</f>
        <v>35.0</v>
      </c>
      <c r="I4" s="66" t="inlineStr">
        <is>
          <t>Launch 12 creatives (test batch)</t>
        </is>
      </c>
      <c r="J4" s="66" t="inlineStr">
        <is>
          <t>Paid ads start. Confirmation email + WhatsApp live.</t>
        </is>
      </c>
    </row>
    <row r="5">
      <c r="A5" s="126" t="n">
        <v>46305</v>
      </c>
      <c r="B5" s="66" t="str">
        <f>IF(A5&lt;=Budget!$C$27,"Test",IF(A5&lt;=Budget!$C$28,"Scale","Last call"))</f>
        <v>Test</v>
      </c>
      <c r="C5" s="81">
        <f>IF(A5&lt;=Budget!$C$27,Budget!$H$27/Budget!$D$27,IF(A5&lt;=Budget!$C$28,Budget!$H$28/Budget!$D$28,Budget!$H$29/Budget!$D$29))</f>
        <v>16960.0</v>
      </c>
      <c r="D5" s="81">
        <f>IF(A5&lt;=Budget!$C$27,Budget!$I$27/Budget!$D$27,IF(A5&lt;=Budget!$C$28,Budget!$I$28/Budget!$D$28,Budget!$I$29/Budget!$D$29))</f>
        <v>6000.0</v>
      </c>
      <c r="E5" s="81">
        <f>IF(A5&lt;=Budget!$C$27,Budget!$J$27/Budget!$D$27,IF(A5&lt;=Budget!$C$28,Budget!$J$28/Budget!$D$28,Budget!$J$29/Budget!$D$29))</f>
        <v>6040.0</v>
      </c>
      <c r="F5" s="88">
        <f>SUM(C5:E5)</f>
        <v>29000.0</v>
      </c>
      <c r="G5" s="81">
        <f>SUM($F$4:F5)</f>
        <v>58000.0</v>
      </c>
      <c r="H5" s="100">
        <f>ROUND(Budget!$B$9*G5/Budget!$F$9,0)</f>
        <v>70.0</v>
      </c>
      <c r="I5" s="66" t="inlineStr"/>
      <c r="J5" s="66" t="inlineStr"/>
    </row>
    <row r="6">
      <c r="A6" s="126" t="n">
        <v>46306</v>
      </c>
      <c r="B6" s="66" t="str">
        <f>IF(A6&lt;=Budget!$C$27,"Test",IF(A6&lt;=Budget!$C$28,"Scale","Last call"))</f>
        <v>Test</v>
      </c>
      <c r="C6" s="81">
        <f>IF(A6&lt;=Budget!$C$27,Budget!$H$27/Budget!$D$27,IF(A6&lt;=Budget!$C$28,Budget!$H$28/Budget!$D$28,Budget!$H$29/Budget!$D$29))</f>
        <v>16960.0</v>
      </c>
      <c r="D6" s="81">
        <f>IF(A6&lt;=Budget!$C$27,Budget!$I$27/Budget!$D$27,IF(A6&lt;=Budget!$C$28,Budget!$I$28/Budget!$D$28,Budget!$I$29/Budget!$D$29))</f>
        <v>6000.0</v>
      </c>
      <c r="E6" s="81">
        <f>IF(A6&lt;=Budget!$C$27,Budget!$J$27/Budget!$D$27,IF(A6&lt;=Budget!$C$28,Budget!$J$28/Budget!$D$28,Budget!$J$29/Budget!$D$29))</f>
        <v>6040.0</v>
      </c>
      <c r="F6" s="88">
        <f>SUM(C6:E6)</f>
        <v>29000.0</v>
      </c>
      <c r="G6" s="81">
        <f>SUM($F$4:F6)</f>
        <v>87000.0</v>
      </c>
      <c r="H6" s="100">
        <f>ROUND(Budget!$B$9*G6/Budget!$F$9,0)</f>
        <v>106.0</v>
      </c>
      <c r="I6" s="66" t="inlineStr"/>
      <c r="J6" s="66" t="inlineStr"/>
    </row>
    <row r="7">
      <c r="A7" s="126" t="n">
        <v>46307</v>
      </c>
      <c r="B7" s="66" t="str">
        <f>IF(A7&lt;=Budget!$C$27,"Test",IF(A7&lt;=Budget!$C$28,"Scale","Last call"))</f>
        <v>Test</v>
      </c>
      <c r="C7" s="81">
        <f>IF(A7&lt;=Budget!$C$27,Budget!$H$27/Budget!$D$27,IF(A7&lt;=Budget!$C$28,Budget!$H$28/Budget!$D$28,Budget!$H$29/Budget!$D$29))</f>
        <v>16960.0</v>
      </c>
      <c r="D7" s="81">
        <f>IF(A7&lt;=Budget!$C$27,Budget!$I$27/Budget!$D$27,IF(A7&lt;=Budget!$C$28,Budget!$I$28/Budget!$D$28,Budget!$I$29/Budget!$D$29))</f>
        <v>6000.0</v>
      </c>
      <c r="E7" s="81">
        <f>IF(A7&lt;=Budget!$C$27,Budget!$J$27/Budget!$D$27,IF(A7&lt;=Budget!$C$28,Budget!$J$28/Budget!$D$28,Budget!$J$29/Budget!$D$29))</f>
        <v>6040.0</v>
      </c>
      <c r="F7" s="88">
        <f>SUM(C7:E7)</f>
        <v>29000.0</v>
      </c>
      <c r="G7" s="81">
        <f>SUM($F$4:F7)</f>
        <v>116000.0</v>
      </c>
      <c r="H7" s="100">
        <f>ROUND(Budget!$B$9*G7/Budget!$F$9,0)</f>
        <v>141.0</v>
      </c>
      <c r="I7" s="66" t="inlineStr"/>
      <c r="J7" s="66" t="inlineStr">
        <is>
          <t>Monday update to CEO</t>
        </is>
      </c>
    </row>
    <row r="8">
      <c r="A8" s="126" t="n">
        <v>46308</v>
      </c>
      <c r="B8" s="66" t="str">
        <f>IF(A8&lt;=Budget!$C$27,"Test",IF(A8&lt;=Budget!$C$28,"Scale","Last call"))</f>
        <v>Test</v>
      </c>
      <c r="C8" s="81">
        <f>IF(A8&lt;=Budget!$C$27,Budget!$H$27/Budget!$D$27,IF(A8&lt;=Budget!$C$28,Budget!$H$28/Budget!$D$28,Budget!$H$29/Budget!$D$29))</f>
        <v>16960.0</v>
      </c>
      <c r="D8" s="81">
        <f>IF(A8&lt;=Budget!$C$27,Budget!$I$27/Budget!$D$27,IF(A8&lt;=Budget!$C$28,Budget!$I$28/Budget!$D$28,Budget!$I$29/Budget!$D$29))</f>
        <v>6000.0</v>
      </c>
      <c r="E8" s="81">
        <f>IF(A8&lt;=Budget!$C$27,Budget!$J$27/Budget!$D$27,IF(A8&lt;=Budget!$C$28,Budget!$J$28/Budget!$D$28,Budget!$J$29/Budget!$D$29))</f>
        <v>6040.0</v>
      </c>
      <c r="F8" s="88">
        <f>SUM(C8:E8)</f>
        <v>29000.0</v>
      </c>
      <c r="G8" s="81">
        <f>SUM($F$4:F8)</f>
        <v>145000.0</v>
      </c>
      <c r="H8" s="100">
        <f>ROUND(Budget!$B$9*G8/Budget!$F$9,0)</f>
        <v>176.0</v>
      </c>
      <c r="I8" s="66" t="inlineStr">
        <is>
          <t>Pause losers</t>
        </is>
      </c>
      <c r="J8" s="66" t="inlineStr">
        <is>
          <t>Test review with CEO: release scale budget?</t>
        </is>
      </c>
    </row>
    <row r="9">
      <c r="A9" s="126" t="n">
        <v>46309</v>
      </c>
      <c r="B9" s="66" t="str">
        <f>IF(A9&lt;=Budget!$C$27,"Test",IF(A9&lt;=Budget!$C$28,"Scale","Last call"))</f>
        <v>Scale</v>
      </c>
      <c r="C9" s="81">
        <f>IF(A9&lt;=Budget!$C$27,Budget!$H$27/Budget!$D$27,IF(A9&lt;=Budget!$C$28,Budget!$H$28/Budget!$D$28,Budget!$H$29/Budget!$D$29))</f>
        <v>28832.0</v>
      </c>
      <c r="D9" s="81">
        <f>IF(A9&lt;=Budget!$C$27,Budget!$I$27/Budget!$D$27,IF(A9&lt;=Budget!$C$28,Budget!$I$28/Budget!$D$28,Budget!$I$29/Budget!$D$29))</f>
        <v>10200.000000000002</v>
      </c>
      <c r="E9" s="81">
        <f>IF(A9&lt;=Budget!$C$27,Budget!$J$27/Budget!$D$27,IF(A9&lt;=Budget!$C$28,Budget!$J$28/Budget!$D$28,Budget!$J$29/Budget!$D$29))</f>
        <v>10268.000000000002</v>
      </c>
      <c r="F9" s="88">
        <f>SUM(C9:E9)</f>
        <v>49300.0</v>
      </c>
      <c r="G9" s="81">
        <f>SUM($F$4:F9)</f>
        <v>194300.0</v>
      </c>
      <c r="H9" s="100">
        <f>ROUND(Budget!$B$9*G9/Budget!$F$9,0)</f>
        <v>236.0</v>
      </c>
      <c r="I9" s="66" t="inlineStr">
        <is>
          <t>Refresh 1: V6, V7, S4, C2</t>
        </is>
      </c>
      <c r="J9" s="66" t="inlineStr">
        <is>
          <t>Retargeting (M4) starts; lookalikes from registrants</t>
        </is>
      </c>
    </row>
    <row r="10">
      <c r="A10" s="126" t="n">
        <v>46310</v>
      </c>
      <c r="B10" s="66" t="str">
        <f>IF(A10&lt;=Budget!$C$27,"Test",IF(A10&lt;=Budget!$C$28,"Scale","Last call"))</f>
        <v>Scale</v>
      </c>
      <c r="C10" s="81">
        <f>IF(A10&lt;=Budget!$C$27,Budget!$H$27/Budget!$D$27,IF(A10&lt;=Budget!$C$28,Budget!$H$28/Budget!$D$28,Budget!$H$29/Budget!$D$29))</f>
        <v>28832.0</v>
      </c>
      <c r="D10" s="81">
        <f>IF(A10&lt;=Budget!$C$27,Budget!$I$27/Budget!$D$27,IF(A10&lt;=Budget!$C$28,Budget!$I$28/Budget!$D$28,Budget!$I$29/Budget!$D$29))</f>
        <v>10200.000000000002</v>
      </c>
      <c r="E10" s="81">
        <f>IF(A10&lt;=Budget!$C$27,Budget!$J$27/Budget!$D$27,IF(A10&lt;=Budget!$C$28,Budget!$J$28/Budget!$D$28,Budget!$J$29/Budget!$D$29))</f>
        <v>10268.000000000002</v>
      </c>
      <c r="F10" s="88">
        <f>SUM(C10:E10)</f>
        <v>49300.0</v>
      </c>
      <c r="G10" s="81">
        <f>SUM($F$4:F10)</f>
        <v>243600.0</v>
      </c>
      <c r="H10" s="100">
        <f>ROUND(Budget!$B$9*G10/Budget!$F$9,0)</f>
        <v>296.0</v>
      </c>
      <c r="I10" s="66" t="inlineStr"/>
      <c r="J10" s="66" t="inlineStr"/>
    </row>
    <row r="11">
      <c r="A11" s="126" t="n">
        <v>46311</v>
      </c>
      <c r="B11" s="66" t="str">
        <f>IF(A11&lt;=Budget!$C$27,"Test",IF(A11&lt;=Budget!$C$28,"Scale","Last call"))</f>
        <v>Scale</v>
      </c>
      <c r="C11" s="81">
        <f>IF(A11&lt;=Budget!$C$27,Budget!$H$27/Budget!$D$27,IF(A11&lt;=Budget!$C$28,Budget!$H$28/Budget!$D$28,Budget!$H$29/Budget!$D$29))</f>
        <v>28832.0</v>
      </c>
      <c r="D11" s="81">
        <f>IF(A11&lt;=Budget!$C$27,Budget!$I$27/Budget!$D$27,IF(A11&lt;=Budget!$C$28,Budget!$I$28/Budget!$D$28,Budget!$I$29/Budget!$D$29))</f>
        <v>10200.000000000002</v>
      </c>
      <c r="E11" s="81">
        <f>IF(A11&lt;=Budget!$C$27,Budget!$J$27/Budget!$D$27,IF(A11&lt;=Budget!$C$28,Budget!$J$28/Budget!$D$28,Budget!$J$29/Budget!$D$29))</f>
        <v>10268.000000000002</v>
      </c>
      <c r="F11" s="88">
        <f>SUM(C11:E11)</f>
        <v>49300.0</v>
      </c>
      <c r="G11" s="81">
        <f>SUM($F$4:F11)</f>
        <v>292900.0</v>
      </c>
      <c r="H11" s="100">
        <f>ROUND(Budget!$B$9*G11/Budget!$F$9,0)</f>
        <v>356.0</v>
      </c>
      <c r="I11" s="66" t="inlineStr"/>
      <c r="J11" s="66" t="inlineStr"/>
    </row>
    <row r="12">
      <c r="A12" s="126" t="n">
        <v>46312</v>
      </c>
      <c r="B12" s="66" t="str">
        <f>IF(A12&lt;=Budget!$C$27,"Test",IF(A12&lt;=Budget!$C$28,"Scale","Last call"))</f>
        <v>Scale</v>
      </c>
      <c r="C12" s="81">
        <f>IF(A12&lt;=Budget!$C$27,Budget!$H$27/Budget!$D$27,IF(A12&lt;=Budget!$C$28,Budget!$H$28/Budget!$D$28,Budget!$H$29/Budget!$D$29))</f>
        <v>28832.0</v>
      </c>
      <c r="D12" s="81">
        <f>IF(A12&lt;=Budget!$C$27,Budget!$I$27/Budget!$D$27,IF(A12&lt;=Budget!$C$28,Budget!$I$28/Budget!$D$28,Budget!$I$29/Budget!$D$29))</f>
        <v>10200.000000000002</v>
      </c>
      <c r="E12" s="81">
        <f>IF(A12&lt;=Budget!$C$27,Budget!$J$27/Budget!$D$27,IF(A12&lt;=Budget!$C$28,Budget!$J$28/Budget!$D$28,Budget!$J$29/Budget!$D$29))</f>
        <v>10268.000000000002</v>
      </c>
      <c r="F12" s="88">
        <f>SUM(C12:E12)</f>
        <v>49300.0</v>
      </c>
      <c r="G12" s="81">
        <f>SUM($F$4:F12)</f>
        <v>342200.0</v>
      </c>
      <c r="H12" s="100">
        <f>ROUND(Budget!$B$9*G12/Budget!$F$9,0)</f>
        <v>415.0</v>
      </c>
      <c r="I12" s="66" t="inlineStr"/>
      <c r="J12" s="66" t="inlineStr"/>
    </row>
    <row r="13">
      <c r="A13" s="126" t="n">
        <v>46313</v>
      </c>
      <c r="B13" s="66" t="str">
        <f>IF(A13&lt;=Budget!$C$27,"Test",IF(A13&lt;=Budget!$C$28,"Scale","Last call"))</f>
        <v>Scale</v>
      </c>
      <c r="C13" s="81">
        <f>IF(A13&lt;=Budget!$C$27,Budget!$H$27/Budget!$D$27,IF(A13&lt;=Budget!$C$28,Budget!$H$28/Budget!$D$28,Budget!$H$29/Budget!$D$29))</f>
        <v>28832.0</v>
      </c>
      <c r="D13" s="81">
        <f>IF(A13&lt;=Budget!$C$27,Budget!$I$27/Budget!$D$27,IF(A13&lt;=Budget!$C$28,Budget!$I$28/Budget!$D$28,Budget!$I$29/Budget!$D$29))</f>
        <v>10200.000000000002</v>
      </c>
      <c r="E13" s="81">
        <f>IF(A13&lt;=Budget!$C$27,Budget!$J$27/Budget!$D$27,IF(A13&lt;=Budget!$C$28,Budget!$J$28/Budget!$D$28,Budget!$J$29/Budget!$D$29))</f>
        <v>10268.000000000002</v>
      </c>
      <c r="F13" s="88">
        <f>SUM(C13:E13)</f>
        <v>49300.0</v>
      </c>
      <c r="G13" s="81">
        <f>SUM($F$4:F13)</f>
        <v>391500.0</v>
      </c>
      <c r="H13" s="100">
        <f>ROUND(Budget!$B$9*G13/Budget!$F$9,0)</f>
        <v>475.0</v>
      </c>
      <c r="I13" s="66" t="inlineStr">
        <is>
          <t>Refresh 2: V8, S6, C3</t>
        </is>
      </c>
      <c r="J13" s="66" t="inlineStr"/>
    </row>
    <row r="14">
      <c r="A14" s="126" t="n">
        <v>46314</v>
      </c>
      <c r="B14" s="66" t="str">
        <f>IF(A14&lt;=Budget!$C$27,"Test",IF(A14&lt;=Budget!$C$28,"Scale","Last call"))</f>
        <v>Scale</v>
      </c>
      <c r="C14" s="81">
        <f>IF(A14&lt;=Budget!$C$27,Budget!$H$27/Budget!$D$27,IF(A14&lt;=Budget!$C$28,Budget!$H$28/Budget!$D$28,Budget!$H$29/Budget!$D$29))</f>
        <v>28832.0</v>
      </c>
      <c r="D14" s="81">
        <f>IF(A14&lt;=Budget!$C$27,Budget!$I$27/Budget!$D$27,IF(A14&lt;=Budget!$C$28,Budget!$I$28/Budget!$D$28,Budget!$I$29/Budget!$D$29))</f>
        <v>10200.000000000002</v>
      </c>
      <c r="E14" s="81">
        <f>IF(A14&lt;=Budget!$C$27,Budget!$J$27/Budget!$D$27,IF(A14&lt;=Budget!$C$28,Budget!$J$28/Budget!$D$28,Budget!$J$29/Budget!$D$29))</f>
        <v>10268.000000000002</v>
      </c>
      <c r="F14" s="88">
        <f>SUM(C14:E14)</f>
        <v>49300.0</v>
      </c>
      <c r="G14" s="81">
        <f>SUM($F$4:F14)</f>
        <v>440800.0</v>
      </c>
      <c r="H14" s="100">
        <f>ROUND(Budget!$B$9*G14/Budget!$F$9,0)</f>
        <v>535.0</v>
      </c>
      <c r="I14" s="66" t="inlineStr"/>
      <c r="J14" s="66" t="inlineStr">
        <is>
          <t>Monday update to CEO</t>
        </is>
      </c>
    </row>
    <row r="15">
      <c r="A15" s="126" t="n">
        <v>46315</v>
      </c>
      <c r="B15" s="66" t="str">
        <f>IF(A15&lt;=Budget!$C$27,"Test",IF(A15&lt;=Budget!$C$28,"Scale","Last call"))</f>
        <v>Scale</v>
      </c>
      <c r="C15" s="81">
        <f>IF(A15&lt;=Budget!$C$27,Budget!$H$27/Budget!$D$27,IF(A15&lt;=Budget!$C$28,Budget!$H$28/Budget!$D$28,Budget!$H$29/Budget!$D$29))</f>
        <v>28832.0</v>
      </c>
      <c r="D15" s="81">
        <f>IF(A15&lt;=Budget!$C$27,Budget!$I$27/Budget!$D$27,IF(A15&lt;=Budget!$C$28,Budget!$I$28/Budget!$D$28,Budget!$I$29/Budget!$D$29))</f>
        <v>10200.000000000002</v>
      </c>
      <c r="E15" s="81">
        <f>IF(A15&lt;=Budget!$C$27,Budget!$J$27/Budget!$D$27,IF(A15&lt;=Budget!$C$28,Budget!$J$28/Budget!$D$28,Budget!$J$29/Budget!$D$29))</f>
        <v>10268.000000000002</v>
      </c>
      <c r="F15" s="88">
        <f>SUM(C15:E15)</f>
        <v>49300.0</v>
      </c>
      <c r="G15" s="81">
        <f>SUM($F$4:F15)</f>
        <v>490100.0</v>
      </c>
      <c r="H15" s="100">
        <f>ROUND(Budget!$B$9*G15/Budget!$F$9,0)</f>
        <v>595.0</v>
      </c>
      <c r="I15" s="66" t="inlineStr"/>
      <c r="J15" s="66" t="inlineStr">
        <is>
          <t>T-7 email (leak #2 preview)</t>
        </is>
      </c>
    </row>
    <row r="16">
      <c r="A16" s="126" t="n">
        <v>46316</v>
      </c>
      <c r="B16" s="66" t="str">
        <f>IF(A16&lt;=Budget!$C$27,"Test",IF(A16&lt;=Budget!$C$28,"Scale","Last call"))</f>
        <v>Scale</v>
      </c>
      <c r="C16" s="81">
        <f>IF(A16&lt;=Budget!$C$27,Budget!$H$27/Budget!$D$27,IF(A16&lt;=Budget!$C$28,Budget!$H$28/Budget!$D$28,Budget!$H$29/Budget!$D$29))</f>
        <v>28832.0</v>
      </c>
      <c r="D16" s="81">
        <f>IF(A16&lt;=Budget!$C$27,Budget!$I$27/Budget!$D$27,IF(A16&lt;=Budget!$C$28,Budget!$I$28/Budget!$D$28,Budget!$I$29/Budget!$D$29))</f>
        <v>10200.000000000002</v>
      </c>
      <c r="E16" s="81">
        <f>IF(A16&lt;=Budget!$C$27,Budget!$J$27/Budget!$D$27,IF(A16&lt;=Budget!$C$28,Budget!$J$28/Budget!$D$28,Budget!$J$29/Budget!$D$29))</f>
        <v>10268.000000000002</v>
      </c>
      <c r="F16" s="88">
        <f>SUM(C16:E16)</f>
        <v>49300.0</v>
      </c>
      <c r="G16" s="81">
        <f>SUM($F$4:F16)</f>
        <v>539400.0</v>
      </c>
      <c r="H16" s="100">
        <f>ROUND(Budget!$B$9*G16/Budget!$F$9,0)</f>
        <v>655.0</v>
      </c>
      <c r="I16" s="66" t="inlineStr">
        <is>
          <t>Refresh 3: V9 bumper + new hooks</t>
        </is>
      </c>
      <c r="J16" s="66" t="inlineStr"/>
    </row>
    <row r="17">
      <c r="A17" s="126" t="n">
        <v>46317</v>
      </c>
      <c r="B17" s="66" t="str">
        <f>IF(A17&lt;=Budget!$C$27,"Test",IF(A17&lt;=Budget!$C$28,"Scale","Last call"))</f>
        <v>Scale</v>
      </c>
      <c r="C17" s="81">
        <f>IF(A17&lt;=Budget!$C$27,Budget!$H$27/Budget!$D$27,IF(A17&lt;=Budget!$C$28,Budget!$H$28/Budget!$D$28,Budget!$H$29/Budget!$D$29))</f>
        <v>28832.0</v>
      </c>
      <c r="D17" s="81">
        <f>IF(A17&lt;=Budget!$C$27,Budget!$I$27/Budget!$D$27,IF(A17&lt;=Budget!$C$28,Budget!$I$28/Budget!$D$28,Budget!$I$29/Budget!$D$29))</f>
        <v>10200.000000000002</v>
      </c>
      <c r="E17" s="81">
        <f>IF(A17&lt;=Budget!$C$27,Budget!$J$27/Budget!$D$27,IF(A17&lt;=Budget!$C$28,Budget!$J$28/Budget!$D$28,Budget!$J$29/Budget!$D$29))</f>
        <v>10268.000000000002</v>
      </c>
      <c r="F17" s="88">
        <f>SUM(C17:E17)</f>
        <v>49300.0</v>
      </c>
      <c r="G17" s="81">
        <f>SUM($F$4:F17)</f>
        <v>588700.0</v>
      </c>
      <c r="H17" s="100">
        <f>ROUND(Budget!$B$9*G17/Budget!$F$9,0)</f>
        <v>715.0</v>
      </c>
      <c r="I17" s="66" t="inlineStr"/>
      <c r="J17" s="66" t="inlineStr">
        <is>
          <t>T-5 WhatsApp checklist nudge; Guardrails Pack ready</t>
        </is>
      </c>
    </row>
    <row r="18">
      <c r="A18" s="126" t="n">
        <v>46318</v>
      </c>
      <c r="B18" s="66" t="str">
        <f>IF(A18&lt;=Budget!$C$27,"Test",IF(A18&lt;=Budget!$C$28,"Scale","Last call"))</f>
        <v>Scale</v>
      </c>
      <c r="C18" s="81">
        <f>IF(A18&lt;=Budget!$C$27,Budget!$H$27/Budget!$D$27,IF(A18&lt;=Budget!$C$28,Budget!$H$28/Budget!$D$28,Budget!$H$29/Budget!$D$29))</f>
        <v>28832.0</v>
      </c>
      <c r="D18" s="81">
        <f>IF(A18&lt;=Budget!$C$27,Budget!$I$27/Budget!$D$27,IF(A18&lt;=Budget!$C$28,Budget!$I$28/Budget!$D$28,Budget!$I$29/Budget!$D$29))</f>
        <v>10200.000000000002</v>
      </c>
      <c r="E18" s="81">
        <f>IF(A18&lt;=Budget!$C$27,Budget!$J$27/Budget!$D$27,IF(A18&lt;=Budget!$C$28,Budget!$J$28/Budget!$D$28,Budget!$J$29/Budget!$D$29))</f>
        <v>10268.000000000002</v>
      </c>
      <c r="F18" s="88">
        <f>SUM(C18:E18)</f>
        <v>49300.0</v>
      </c>
      <c r="G18" s="81">
        <f>SUM($F$4:F18)</f>
        <v>638000.0</v>
      </c>
      <c r="H18" s="100">
        <f>ROUND(Budget!$B$9*G18/Budget!$F$9,0)</f>
        <v>774.0</v>
      </c>
      <c r="I18" s="66" t="inlineStr"/>
      <c r="J18" s="66" t="inlineStr">
        <is>
          <t>Mock call (deck, audio, screen share)</t>
        </is>
      </c>
    </row>
    <row r="19">
      <c r="A19" s="126" t="n">
        <v>46319</v>
      </c>
      <c r="B19" s="66" t="str">
        <f>IF(A19&lt;=Budget!$C$27,"Test",IF(A19&lt;=Budget!$C$28,"Scale","Last call"))</f>
        <v>Last call</v>
      </c>
      <c r="C19" s="81">
        <f>IF(A19&lt;=Budget!$C$27,Budget!$H$27/Budget!$D$27,IF(A19&lt;=Budget!$C$28,Budget!$H$28/Budget!$D$28,Budget!$H$29/Budget!$D$29))</f>
        <v>16960.0</v>
      </c>
      <c r="D19" s="81">
        <f>IF(A19&lt;=Budget!$C$27,Budget!$I$27/Budget!$D$27,IF(A19&lt;=Budget!$C$28,Budget!$I$28/Budget!$D$28,Budget!$I$29/Budget!$D$29))</f>
        <v>6000.0</v>
      </c>
      <c r="E19" s="81">
        <f>IF(A19&lt;=Budget!$C$27,Budget!$J$27/Budget!$D$27,IF(A19&lt;=Budget!$C$28,Budget!$J$28/Budget!$D$28,Budget!$J$29/Budget!$D$29))</f>
        <v>6040.0</v>
      </c>
      <c r="F19" s="88">
        <f>SUM(C19:E19)</f>
        <v>29000.0</v>
      </c>
      <c r="G19" s="81">
        <f>SUM($F$4:F19)</f>
        <v>667000.0</v>
      </c>
      <c r="H19" s="100">
        <f>ROUND(Budget!$B$9*G19/Budget!$F$9,0)</f>
        <v>810.0</v>
      </c>
      <c r="I19" s="66" t="inlineStr">
        <is>
          <t>Last call: V10 + S5 countdowns</t>
        </is>
      </c>
      <c r="J19" s="66" t="inlineStr">
        <is>
          <t>T-3 agenda email</t>
        </is>
      </c>
    </row>
    <row r="20">
      <c r="A20" s="126" t="n">
        <v>46320</v>
      </c>
      <c r="B20" s="66" t="str">
        <f>IF(A20&lt;=Budget!$C$27,"Test",IF(A20&lt;=Budget!$C$28,"Scale","Last call"))</f>
        <v>Last call</v>
      </c>
      <c r="C20" s="81">
        <f>IF(A20&lt;=Budget!$C$27,Budget!$H$27/Budget!$D$27,IF(A20&lt;=Budget!$C$28,Budget!$H$28/Budget!$D$28,Budget!$H$29/Budget!$D$29))</f>
        <v>16960.0</v>
      </c>
      <c r="D20" s="81">
        <f>IF(A20&lt;=Budget!$C$27,Budget!$I$27/Budget!$D$27,IF(A20&lt;=Budget!$C$28,Budget!$I$28/Budget!$D$28,Budget!$I$29/Budget!$D$29))</f>
        <v>6000.0</v>
      </c>
      <c r="E20" s="81">
        <f>IF(A20&lt;=Budget!$C$27,Budget!$J$27/Budget!$D$27,IF(A20&lt;=Budget!$C$28,Budget!$J$28/Budget!$D$28,Budget!$J$29/Budget!$D$29))</f>
        <v>6040.0</v>
      </c>
      <c r="F20" s="88">
        <f>SUM(C20:E20)</f>
        <v>29000.0</v>
      </c>
      <c r="G20" s="81">
        <f>SUM($F$4:F20)</f>
        <v>696000.0</v>
      </c>
      <c r="H20" s="100">
        <f>ROUND(Budget!$B$9*G20/Budget!$F$9,0)</f>
        <v>845.0</v>
      </c>
      <c r="I20" s="66" t="inlineStr"/>
      <c r="J20" s="66" t="inlineStr"/>
    </row>
    <row r="21">
      <c r="A21" s="126" t="n">
        <v>46321</v>
      </c>
      <c r="B21" s="66" t="str">
        <f>IF(A21&lt;=Budget!$C$27,"Test",IF(A21&lt;=Budget!$C$28,"Scale","Last call"))</f>
        <v>Last call</v>
      </c>
      <c r="C21" s="81">
        <f>IF(A21&lt;=Budget!$C$27,Budget!$H$27/Budget!$D$27,IF(A21&lt;=Budget!$C$28,Budget!$H$28/Budget!$D$28,Budget!$H$29/Budget!$D$29))</f>
        <v>16960.0</v>
      </c>
      <c r="D21" s="81">
        <f>IF(A21&lt;=Budget!$C$27,Budget!$I$27/Budget!$D$27,IF(A21&lt;=Budget!$C$28,Budget!$I$28/Budget!$D$28,Budget!$I$29/Budget!$D$29))</f>
        <v>6000.0</v>
      </c>
      <c r="E21" s="81">
        <f>IF(A21&lt;=Budget!$C$27,Budget!$J$27/Budget!$D$27,IF(A21&lt;=Budget!$C$28,Budget!$J$28/Budget!$D$28,Budget!$J$29/Budget!$D$29))</f>
        <v>6040.0</v>
      </c>
      <c r="F21" s="88">
        <f>SUM(C21:E21)</f>
        <v>29000.0</v>
      </c>
      <c r="G21" s="81">
        <f>SUM($F$4:F21)</f>
        <v>725000.0</v>
      </c>
      <c r="H21" s="100">
        <f>ROUND(Budget!$B$9*G21/Budget!$F$9,0)</f>
        <v>880.0</v>
      </c>
      <c r="I21" s="66" t="inlineStr">
        <is>
          <t>Ads stop at 11:59 PM</t>
        </is>
      </c>
      <c r="J21" s="66" t="inlineStr">
        <is>
          <t>Monday update to CEO; T-1 email + WhatsApp; sales calls to high-fit</t>
        </is>
      </c>
    </row>
    <row r="22">
      <c r="A22" s="84" t="inlineStr">
        <is>
          <t>Total</t>
        </is>
      </c>
      <c r="B22" s="87" t="inlineStr"/>
      <c r="C22" s="86">
        <f>SUM(C4:C21)</f>
        <v>424000.0</v>
      </c>
      <c r="D22" s="86">
        <f>SUM(D4:D21)</f>
        <v>150000.0</v>
      </c>
      <c r="E22" s="86">
        <f>SUM(E4:E21)</f>
        <v>151000.0</v>
      </c>
      <c r="F22" s="86">
        <f>SUM(F4:F21)</f>
        <v>725000.0</v>
      </c>
      <c r="G22" s="84" t="str">
        <f>IF(ABS(F22-Budget!F9)&lt;1,"Matches Budget","Check")</f>
        <v>Matches Budget</v>
      </c>
      <c r="H22" s="85">
        <f>H21</f>
        <v>880.0</v>
      </c>
      <c r="I22" s="87" t="inlineStr"/>
      <c r="J22" s="87" t="inlineStr"/>
    </row>
    <row r="24">
      <c r="A24" s="74" t="inlineStr">
        <is>
          <t>If registrations are 20% behind on any day: add budget to the best ad set from the next stage and launch a new hook the same day.</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FF262626"/>
    <outlinePr summaryBelow="1" summaryRight="1"/>
    <pageSetUpPr fitToPage="1"/>
  </sheetPr>
  <dimension ref="A1:C30"/>
  <sheetViews>
    <sheetView showGridLines="0" tabSelected="0" workbookViewId="0">
      <selection activeCell="B19" sqref="B19"/>
    </sheetView>
  </sheetViews>
  <sheetFormatPr baseColWidth="8" defaultRowHeight="14.45"/>
  <cols>
    <col width="16" customWidth="1" min="1" max="1"/>
    <col width="70" customWidth="1" min="2" max="2"/>
    <col width="22" customWidth="1" min="3" max="3"/>
  </cols>
  <sheetData>
    <row r="1" ht="18.6" customHeight="1">
      <c r="A1" s="62" t="inlineStr">
        <is>
          <t>Timeline: webinar Tue 27-Oct-2026, 4:00–5:00 PM IST (backup Wed 28-Oct)</t>
        </is>
      </c>
      <c r="B1" s="73" t="n"/>
      <c r="C1" s="73" t="n"/>
    </row>
    <row r="2">
      <c r="A2" s="74" t="inlineStr">
        <is>
          <t>Updated 4-Oct for 200 live attendees. Ads start Fri 9-Oct because the VSL and videos aren't recorded yet.</t>
        </is>
      </c>
      <c r="B2" s="73" t="n"/>
      <c r="C2" s="73" t="n"/>
    </row>
    <row r="3">
      <c r="A3" s="63" t="inlineStr">
        <is>
          <t>When</t>
        </is>
      </c>
      <c r="B3" s="63" t="inlineStr">
        <is>
          <t>What</t>
        </is>
      </c>
      <c r="C3" s="63" t="inlineStr">
        <is>
          <t>Owner</t>
        </is>
      </c>
    </row>
    <row r="4">
      <c r="A4" s="67" t="inlineStr">
        <is>
          <t>Sun 4-Oct</t>
        </is>
      </c>
      <c r="B4" s="66" t="inlineStr">
        <is>
          <t>Plan updated: 200 live, 880 registrations, new topic, offers, scripts, ad copy</t>
        </is>
      </c>
      <c r="C4" s="66" t="inlineStr">
        <is>
          <t>Shourya</t>
        </is>
      </c>
    </row>
    <row r="5">
      <c r="A5" s="67" t="inlineStr">
        <is>
          <t>Mon 5-Oct</t>
        </is>
      </c>
      <c r="B5" s="66" t="inlineStr">
        <is>
          <t>CEO approves topic, budget, offers and Zoom Webinars 500 (Decisions tab)</t>
        </is>
      </c>
      <c r="C5" s="66" t="inlineStr">
        <is>
          <t>CEO</t>
        </is>
      </c>
    </row>
    <row r="6">
      <c r="A6" s="67" t="inlineStr">
        <is>
          <t>Mon 5 / Tue 6-Oct</t>
        </is>
      </c>
      <c r="B6" s="66" t="inlineStr">
        <is>
          <t>2-hour shoot: V1, V2, V3, V4, V6, V8 (Video Scripts tab)</t>
        </is>
      </c>
      <c r="C6" s="66" t="inlineStr">
        <is>
          <t>CEO + CTO</t>
        </is>
      </c>
    </row>
    <row r="7">
      <c r="A7" s="67" t="inlineStr">
        <is>
          <t>Tue 6-Oct</t>
        </is>
      </c>
      <c r="B7" s="66" t="inlineStr">
        <is>
          <t>WhatsApp templates submitted to Meta for approval; checklist written</t>
        </is>
      </c>
      <c r="C7" s="66" t="inlineStr">
        <is>
          <t>Shourya + CTO</t>
        </is>
      </c>
    </row>
    <row r="8">
      <c r="A8" s="67" t="inlineStr">
        <is>
          <t>Wed 7-Oct</t>
        </is>
      </c>
      <c r="B8" s="66" t="inlineStr">
        <is>
          <t>Statics, carousels, LinkedIn document and Google ads ready; landing page + tracking live</t>
        </is>
      </c>
      <c r="C8" s="66" t="inlineStr">
        <is>
          <t>Shourya + designer</t>
        </is>
      </c>
    </row>
    <row r="9">
      <c r="A9" s="67" t="inlineStr">
        <is>
          <t>Thu 8-Oct</t>
        </is>
      </c>
      <c r="B9" s="66" t="inlineStr">
        <is>
          <t>VSL and first videos edited; checklist PDF designed; thank-you page and confirmation messages tested</t>
        </is>
      </c>
      <c r="C9" s="66" t="inlineStr">
        <is>
          <t>Shourya + editor</t>
        </is>
      </c>
    </row>
    <row r="10">
      <c r="A10" s="67" t="inlineStr">
        <is>
          <t>Fri 9-Oct</t>
        </is>
      </c>
      <c r="B10" s="66" t="inlineStr">
        <is>
          <t>Paid ads start on LinkedIn, Meta and Google: test stage (12 creatives)</t>
        </is>
      </c>
      <c r="C10" s="66" t="inlineStr">
        <is>
          <t>Shourya</t>
        </is>
      </c>
    </row>
    <row r="11">
      <c r="A11" s="67" t="inlineStr">
        <is>
          <t>Tue 13-Oct</t>
        </is>
      </c>
      <c r="B11" s="66" t="inlineStr">
        <is>
          <t>Test results reviewed with CEO; scale budget released or held</t>
        </is>
      </c>
      <c r="C11" s="66" t="inlineStr">
        <is>
          <t>CEO + Shourya</t>
        </is>
      </c>
    </row>
    <row r="12">
      <c r="A12" s="67" t="inlineStr">
        <is>
          <t>Wed 14-Oct</t>
        </is>
      </c>
      <c r="B12" s="66" t="inlineStr">
        <is>
          <t>Scale stage starts; retargeting on; creative refresh 1</t>
        </is>
      </c>
      <c r="C12" s="66" t="inlineStr">
        <is>
          <t>Shourya</t>
        </is>
      </c>
    </row>
    <row r="13">
      <c r="A13" s="67" t="inlineStr">
        <is>
          <t>Sun 18 / Wed 21-Oct</t>
        </is>
      </c>
      <c r="B13" s="66" t="inlineStr">
        <is>
          <t>Creative refresh 2 and 3</t>
        </is>
      </c>
      <c r="C13" s="66" t="inlineStr">
        <is>
          <t>Shourya + editor</t>
        </is>
      </c>
    </row>
    <row r="14">
      <c r="A14" s="67" t="inlineStr">
        <is>
          <t>Thu 22-Oct</t>
        </is>
      </c>
      <c r="B14" s="66" t="inlineStr">
        <is>
          <t>AI Cost Guardrails Pack (Git repo) and 5-Leak Playbook ready</t>
        </is>
      </c>
      <c r="C14" s="66" t="inlineStr">
        <is>
          <t>CTO team</t>
        </is>
      </c>
    </row>
    <row r="15">
      <c r="A15" s="67" t="inlineStr">
        <is>
          <t>Fri 23-Oct</t>
        </is>
      </c>
      <c r="B15" s="66" t="inlineStr">
        <is>
          <t>Full mock call on Zoom Webinars: deck, timing, audio, polls, lucky draw form</t>
        </is>
      </c>
      <c r="C15" s="66" t="inlineStr">
        <is>
          <t>CEO + CTO + Shourya</t>
        </is>
      </c>
    </row>
    <row r="16">
      <c r="A16" s="67" t="inlineStr">
        <is>
          <t>Sat 24-Oct</t>
        </is>
      </c>
      <c r="B16" s="66" t="inlineStr">
        <is>
          <t>Last call: countdown creatives; T-3 email</t>
        </is>
      </c>
      <c r="C16" s="66" t="inlineStr">
        <is>
          <t>Shourya</t>
        </is>
      </c>
    </row>
    <row r="17">
      <c r="A17" s="67" t="inlineStr">
        <is>
          <t>Mon 26-Oct</t>
        </is>
      </c>
      <c r="B17" s="66" t="inlineStr">
        <is>
          <t>Ads stop at 11:59 PM; T-1 email + WhatsApp; sales calls to high-fit registrants</t>
        </is>
      </c>
      <c r="C17" s="66" t="inlineStr">
        <is>
          <t>Shourya + Sales</t>
        </is>
      </c>
    </row>
    <row r="18">
      <c r="A18" s="67" t="inlineStr">
        <is>
          <t>Tue 27-Oct</t>
        </is>
      </c>
      <c r="B18" s="66" t="inlineStr">
        <is>
          <t>Live webinar, 4:00 PM</t>
        </is>
      </c>
      <c r="C18" s="66" t="inlineStr">
        <is>
          <t>CEO + CTO</t>
        </is>
      </c>
    </row>
    <row r="19">
      <c r="A19" s="67" t="inlineStr">
        <is>
          <t>27–30 Oct</t>
        </is>
      </c>
      <c r="B19" s="66" t="inlineStr">
        <is>
          <t>Certificates, playbook, recording to no-shows, cost review bookings, sales calls</t>
        </is>
      </c>
      <c r="C19" s="66" t="inlineStr">
        <is>
          <t>Shourya + Sales</t>
        </is>
      </c>
    </row>
    <row r="20">
      <c r="A20" s="67" t="inlineStr">
        <is>
          <t>By Mon 2-Nov</t>
        </is>
      </c>
      <c r="B20" s="66" t="inlineStr">
        <is>
          <t>Post-mortem: cost per registration and per attendee, show-up rate, reviews booked</t>
        </is>
      </c>
      <c r="C20" s="66" t="inlineStr">
        <is>
          <t>Shourya</t>
        </is>
      </c>
    </row>
    <row r="21">
      <c r="A21" s="73" t="n"/>
      <c r="B21" s="73" t="n"/>
      <c r="C21" s="73" t="n"/>
    </row>
    <row r="22">
      <c r="A22" s="73" t="n"/>
      <c r="B22" s="73" t="n"/>
      <c r="C22" s="73" t="n"/>
    </row>
    <row r="23">
      <c r="A23" s="73" t="n"/>
      <c r="B23" s="73" t="inlineStr">
        <is>
          <t>phase wise presenattion</t>
        </is>
      </c>
      <c r="C23" s="73" t="n"/>
    </row>
    <row r="24">
      <c r="A24" s="73" t="n"/>
      <c r="B24" s="73" t="n"/>
      <c r="C24" s="73" t="n"/>
    </row>
    <row r="25">
      <c r="A25" s="73" t="n"/>
      <c r="B25" s="73" t="n"/>
      <c r="C25" s="73" t="n"/>
    </row>
    <row r="26">
      <c r="A26" s="73" t="n"/>
      <c r="B26" s="73" t="n"/>
      <c r="C26" s="73" t="n"/>
    </row>
    <row r="27">
      <c r="A27" s="73" t="n"/>
      <c r="B27" s="73" t="n"/>
      <c r="C27" s="73" t="n"/>
    </row>
    <row r="28">
      <c r="A28" s="73" t="n"/>
      <c r="B28" s="73" t="n"/>
      <c r="C28" s="73" t="n"/>
    </row>
    <row r="29">
      <c r="A29" s="73" t="n"/>
      <c r="B29" s="73" t="n"/>
      <c r="C29" s="73" t="n"/>
    </row>
    <row r="30">
      <c r="A30" s="73" t="n"/>
      <c r="B30" s="73" t="n"/>
      <c r="C30" s="73" t="n"/>
    </row>
  </sheetData>
  <pageMargins left="0.75" right="0.75" top="1" bottom="1" header="0.5" footer="0.5"/>
  <pageSetup orientation="landscape" fitToHeight="0"/>
</worksheet>
</file>

<file path=xl/worksheets/sheet17.xml><?xml version="1.0" encoding="utf-8"?>
<worksheet xmlns="http://schemas.openxmlformats.org/spreadsheetml/2006/main">
  <sheetPr>
    <tabColor rgb="FFFFB42A"/>
    <outlinePr summaryBelow="1" summaryRight="1"/>
    <pageSetUpPr fitToPage="1"/>
  </sheetPr>
  <dimension ref="A1:E20"/>
  <sheetViews>
    <sheetView showGridLines="0" tabSelected="0" workbookViewId="0">
      <selection activeCell="C16" sqref="C16"/>
    </sheetView>
  </sheetViews>
  <sheetFormatPr baseColWidth="8" defaultRowHeight="14.45"/>
  <cols>
    <col width="5" customWidth="1" min="1" max="1"/>
    <col width="34" customWidth="1" min="2" max="2"/>
    <col width="50" customWidth="1" min="3" max="3"/>
    <col width="38" customWidth="1" min="4" max="4"/>
    <col width="22" customWidth="1" min="5" max="5"/>
  </cols>
  <sheetData>
    <row r="1" ht="18.6" customHeight="1">
      <c r="A1" s="1" t="inlineStr">
        <is>
          <t>Decisions needed from the CEO</t>
        </is>
      </c>
    </row>
    <row r="3">
      <c r="A3" s="53" t="inlineStr">
        <is>
          <t>#</t>
        </is>
      </c>
      <c r="B3" s="53" t="inlineStr">
        <is>
          <t>Decision</t>
        </is>
      </c>
      <c r="C3" s="53" t="inlineStr">
        <is>
          <t>My recommendation</t>
        </is>
      </c>
      <c r="D3" s="53" t="inlineStr">
        <is>
          <t>What it unblocks</t>
        </is>
      </c>
      <c r="E3" s="53" t="inlineStr">
        <is>
          <t>CEO decision</t>
        </is>
      </c>
    </row>
    <row r="4">
      <c r="A4" s="9" t="inlineStr">
        <is>
          <t>1</t>
        </is>
      </c>
      <c r="B4" s="50" t="inlineStr">
        <is>
          <t>Topic, title and promise</t>
        </is>
      </c>
      <c r="C4" s="56" t="inlineStr">
        <is>
          <t>Topic 6 from the Topics tab: 'AI Is Eating Your Cloud Bill' (was Topic 2, Build, Buy or Partner)</t>
        </is>
      </c>
      <c r="D4" s="50" t="inlineStr">
        <is>
          <t>All creative, landing page, deck example</t>
        </is>
      </c>
      <c r="E4" s="28" t="n"/>
    </row>
    <row r="5">
      <c r="A5" s="9" t="inlineStr">
        <is>
          <t>2</t>
        </is>
      </c>
      <c r="B5" s="50" t="inlineStr">
        <is>
          <t>Date and time</t>
        </is>
      </c>
      <c r="C5" s="50" t="inlineStr">
        <is>
          <t>Tue 27-Oct-2026, 4:00 PM IST (backup Wed 28-Oct)</t>
        </is>
      </c>
      <c r="D5" s="50" t="inlineStr">
        <is>
          <t>The whole calendar</t>
        </is>
      </c>
      <c r="E5" s="28" t="n"/>
    </row>
    <row r="6">
      <c r="A6" s="9" t="inlineStr">
        <is>
          <t>3</t>
        </is>
      </c>
      <c r="B6" s="50" t="inlineStr">
        <is>
          <t>Registration target</t>
        </is>
      </c>
      <c r="C6" s="56" t="str">
        <f>"200 live attendees → "&amp;Funnel!B8&amp;" registrations to buy with ads"</f>
        <v>200 live attendees → 880 registrations to buy with ads</v>
      </c>
      <c r="D6" s="50" t="inlineStr">
        <is>
          <t>Budget and daily pacing</t>
        </is>
      </c>
      <c r="E6" s="28" t="n"/>
    </row>
    <row r="7" ht="29.1" customHeight="1">
      <c r="A7" s="9" t="inlineStr">
        <is>
          <t>4</t>
        </is>
      </c>
      <c r="B7" s="50" t="inlineStr">
        <is>
          <t>Budget</t>
        </is>
      </c>
      <c r="C7" s="56" t="str">
        <f>"₹"&amp;TEXT(Budget!F9,"#,##0")&amp;" media ex-GST (₹"&amp;TEXT(Budget!F21,"#,##0")&amp;" all-in); release the ₹"&amp;TEXT(Budget!F27,"#,##0")&amp;" test budget first"</f>
        <v>₹725,000 media ex-GST (₹942,690 all-in); release the ₹145,000 test budget first</v>
      </c>
      <c r="D7" s="50" t="inlineStr">
        <is>
          <t>Campaign launch</t>
        </is>
      </c>
      <c r="E7" s="28" t="n"/>
    </row>
    <row r="8" ht="29.1" customHeight="1">
      <c r="A8" s="9" t="inlineStr">
        <is>
          <t>5</t>
        </is>
      </c>
      <c r="B8" s="50" t="inlineStr">
        <is>
          <t>Tool spend</t>
        </is>
      </c>
      <c r="C8" s="56" t="inlineStr">
        <is>
          <t>Zoom Webinars 500 (₹11,610/month) + Pro host; email + WhatsApp sending; CRM</t>
        </is>
      </c>
      <c r="D8" s="50" t="inlineStr">
        <is>
          <t>Registration and reminders</t>
        </is>
      </c>
      <c r="E8" s="28" t="n"/>
    </row>
    <row r="9">
      <c r="A9" s="9" t="inlineStr">
        <is>
          <t>6</t>
        </is>
      </c>
      <c r="B9" s="50" t="inlineStr">
        <is>
          <t>IT-services employees in the audience?</t>
        </is>
      </c>
      <c r="C9" s="50" t="inlineStr">
        <is>
          <t>Leave them out of paid ads; allow organic sign-ups</t>
        </is>
      </c>
      <c r="D9" s="50" t="inlineStr">
        <is>
          <t>Targeting set-up</t>
        </is>
      </c>
      <c r="E9" s="28" t="n"/>
    </row>
    <row r="10">
      <c r="A10" s="9" t="inlineStr">
        <is>
          <t>7</t>
        </is>
      </c>
      <c r="B10" s="50" t="inlineStr">
        <is>
          <t>Speakers</t>
        </is>
      </c>
      <c r="C10" s="50" t="inlineStr">
        <is>
          <t>Confirmed once the topic is picked</t>
        </is>
      </c>
      <c r="D10" s="50" t="inlineStr">
        <is>
          <t>Landing page, video shoot</t>
        </is>
      </c>
      <c r="E10" s="28" t="n"/>
    </row>
    <row r="11">
      <c r="A11" s="9" t="inlineStr">
        <is>
          <t>8</t>
        </is>
      </c>
      <c r="B11" s="50" t="inlineStr">
        <is>
          <t>Sales owner for follow-up</t>
        </is>
      </c>
      <c r="C11" s="50" t="inlineStr">
        <is>
          <t>One named person, calls within 48 hours</t>
        </is>
      </c>
      <c r="D11" s="50" t="inlineStr">
        <is>
          <t>Follow-up sequence</t>
        </is>
      </c>
      <c r="E11" s="28" t="n"/>
    </row>
    <row r="12">
      <c r="A12" s="9" t="inlineStr">
        <is>
          <t>9</t>
        </is>
      </c>
      <c r="B12" s="50" t="inlineStr">
        <is>
          <t>One-off or a series?</t>
        </is>
      </c>
      <c r="C12" s="50" t="inlineStr">
        <is>
          <t>A series, “Think Like a CTO”</t>
        </is>
      </c>
      <c r="D12" s="50" t="inlineStr">
        <is>
          <t>Reusable pages and lists</t>
        </is>
      </c>
      <c r="E12" s="28" t="n"/>
    </row>
    <row r="13">
      <c r="A13" s="9" t="inlineStr">
        <is>
          <t>10</t>
        </is>
      </c>
      <c r="B13" s="50" t="inlineStr">
        <is>
          <t>Acquisition channels</t>
        </is>
      </c>
      <c r="C13" s="56" t="inlineStr">
        <is>
          <t>LinkedIn, Meta and Google ads only. Email and WhatsApp only after registration.</t>
        </is>
      </c>
      <c r="D13" s="50" t="inlineStr">
        <is>
          <t>Budget, Ads Plan</t>
        </is>
      </c>
      <c r="E13" s="28" t="n"/>
    </row>
    <row r="14">
      <c r="A14" s="9" t="inlineStr">
        <is>
          <t>11</t>
        </is>
      </c>
      <c r="B14" s="50" t="inlineStr">
        <is>
          <t>LinkedIn budget</t>
        </is>
      </c>
      <c r="C14" s="56" t="inlineStr">
        <is>
          <t>Keep LinkedIn to 60 registrations (₹1.5 lakh): senior reach, but 3.5× Meta's cost.</t>
        </is>
      </c>
      <c r="D14" s="50" t="inlineStr">
        <is>
          <t>Budget split</t>
        </is>
      </c>
      <c r="E14" s="28" t="n"/>
    </row>
    <row r="15">
      <c r="A15" s="9" t="inlineStr">
        <is>
          <t>12</t>
        </is>
      </c>
      <c r="B15" s="50" t="inlineStr">
        <is>
          <t>Business email only?</t>
        </is>
      </c>
      <c r="C15" s="56" t="inlineStr">
        <is>
          <t>Ask for work email but accept personal email for the pilot; company name required. Business-only roughly halves volume.</t>
        </is>
      </c>
      <c r="D15" s="50" t="inlineStr">
        <is>
          <t>Form, volume</t>
        </is>
      </c>
      <c r="E15" s="28" t="n"/>
    </row>
    <row r="16">
      <c r="A16" s="9" t="inlineStr">
        <is>
          <t>13</t>
        </is>
      </c>
      <c r="B16" s="50" t="inlineStr">
        <is>
          <t>Offers</t>
        </is>
      </c>
      <c r="C16" s="56" t="str">
        <f>"Approve the Offers tab: free checklist on registration; playbook, certificate, ₹"&amp;TEXT(Offers!F14,"#,##0")&amp;" lucky draw and 20 cost reviews for live attendees"</f>
        <v>Approve the Offers tab: free checklist on registration; playbook, certificate, ₹20,000 lucky draw and 20 cost reviews for live attendees</v>
      </c>
      <c r="D16" s="50" t="inlineStr">
        <is>
          <t>Ads, VSL, landing page</t>
        </is>
      </c>
      <c r="E16" s="28" t="n"/>
    </row>
    <row r="17">
      <c r="A17" s="9" t="inlineStr">
        <is>
          <t>14</t>
        </is>
      </c>
      <c r="B17" s="50" t="inlineStr">
        <is>
          <t>Creative production</t>
        </is>
      </c>
      <c r="C17" s="56" t="str">
        <f>"Approve ₹"&amp;TEXT(Creatives!F41,"#,##0")&amp;" and a 2-hour CEO + CTO shoot on Mon 5 or Tue 6 Oct"</f>
        <v>Approve ₹44,000 and a 2-hour CEO + CTO shoot on Mon 5 or Tue 6 Oct</v>
      </c>
      <c r="D17" s="50" t="inlineStr">
        <is>
          <t>All ads and the VSL</t>
        </is>
      </c>
      <c r="E17" s="28" t="n"/>
    </row>
    <row r="18">
      <c r="A18" s="9" t="inlineStr">
        <is>
          <t>15</t>
        </is>
      </c>
      <c r="B18" s="50" t="inlineStr">
        <is>
          <t>Show-up push</t>
        </is>
      </c>
      <c r="C18" s="56" t="inlineStr">
        <is>
          <t>Approve sales calls to high-fit registrants on Mon 26-Oct (T-1)</t>
        </is>
      </c>
      <c r="D18" s="50" t="inlineStr">
        <is>
          <t>Show-up rate</t>
        </is>
      </c>
      <c r="E18" s="28" t="n"/>
    </row>
    <row r="20">
      <c r="A20" s="75" t="inlineStr">
        <is>
          <t>Green = changed or added on 4-Oct.</t>
        </is>
      </c>
    </row>
  </sheetData>
  <pageMargins left="0.75" right="0.75" top="1" bottom="1" header="0.5" footer="0.5"/>
  <pageSetup orientation="landscape" fitToHeight="0"/>
</worksheet>
</file>

<file path=xl/worksheets/sheet18.xml><?xml version="1.0" encoding="utf-8"?>
<worksheet xmlns="http://schemas.openxmlformats.org/spreadsheetml/2006/main">
  <sheetPr>
    <tabColor rgb="FF262626"/>
    <outlinePr summaryBelow="1" summaryRight="1"/>
    <pageSetUpPr fitToPage="1"/>
  </sheetPr>
  <dimension ref="A1:D61"/>
  <sheetViews>
    <sheetView showGridLines="0" tabSelected="0" workbookViewId="0">
      <pane ySplit="3" topLeftCell="A37" activePane="bottomLeft" state="frozen"/>
      <selection pane="bottomLeft" activeCell="A48" sqref="A48"/>
    </sheetView>
  </sheetViews>
  <sheetFormatPr baseColWidth="8" defaultRowHeight="15"/>
  <cols>
    <col width="33" customWidth="1" style="37" min="1" max="1"/>
    <col width="62" customWidth="1" min="2" max="2"/>
    <col width="16" customWidth="1" min="3" max="3"/>
    <col width="12" customWidth="1" min="4" max="4"/>
  </cols>
  <sheetData>
    <row r="1" ht="37.5" customHeight="1">
      <c r="A1" s="38" t="inlineStr">
        <is>
          <t>Execution checklist</t>
        </is>
      </c>
    </row>
    <row r="2">
      <c r="A2" s="39" t="inlineStr">
        <is>
          <t>Done:</t>
        </is>
      </c>
      <c r="B2" s="6" t="str">
        <f>COUNTIF(D4:D61,"Done")&amp;" of "&amp;COUNTA(B4:B61)</f>
        <v>3 of 58</v>
      </c>
    </row>
    <row r="3">
      <c r="A3" s="53" t="inlineStr">
        <is>
          <t>Area</t>
        </is>
      </c>
      <c r="B3" s="53" t="inlineStr">
        <is>
          <t>Item</t>
        </is>
      </c>
      <c r="C3" s="53" t="inlineStr">
        <is>
          <t>Owner</t>
        </is>
      </c>
      <c r="D3" s="53" t="inlineStr">
        <is>
          <t>Status</t>
        </is>
      </c>
    </row>
    <row r="4">
      <c r="A4" s="50" t="inlineStr">
        <is>
          <t>Topic and content</t>
        </is>
      </c>
      <c r="B4" s="50" t="inlineStr">
        <is>
          <t>Topic, title and promise statement locked</t>
        </is>
      </c>
      <c r="C4" s="50" t="inlineStr">
        <is>
          <t>CEO</t>
        </is>
      </c>
      <c r="D4" s="29" t="inlineStr">
        <is>
          <t>In progress</t>
        </is>
      </c>
    </row>
    <row r="5">
      <c r="A5" s="50" t="inlineStr">
        <is>
          <t>Topic and content</t>
        </is>
      </c>
      <c r="B5" s="50" t="inlineStr">
        <is>
          <t>Speakers confirmed for the chosen topic</t>
        </is>
      </c>
      <c r="C5" s="50" t="inlineStr">
        <is>
          <t>CEO</t>
        </is>
      </c>
      <c r="D5" s="29" t="inlineStr">
        <is>
          <t>In progress</t>
        </is>
      </c>
    </row>
    <row r="6">
      <c r="A6" s="50" t="inlineStr">
        <is>
          <t>Topic and content</t>
        </is>
      </c>
      <c r="B6" s="50" t="inlineStr">
        <is>
          <t>Deck adapted and trimmed to 45 minutes</t>
        </is>
      </c>
      <c r="C6" s="50" t="inlineStr">
        <is>
          <t>CTO</t>
        </is>
      </c>
      <c r="D6" s="29" t="inlineStr">
        <is>
          <t>Not started</t>
        </is>
      </c>
    </row>
    <row r="7">
      <c r="A7" s="50" t="inlineStr">
        <is>
          <t>Topic and content</t>
        </is>
      </c>
      <c r="B7" s="50" t="inlineStr">
        <is>
          <t>Worked example chosen and cleared for sharing</t>
        </is>
      </c>
      <c r="C7" s="50" t="inlineStr">
        <is>
          <t>CTO</t>
        </is>
      </c>
      <c r="D7" s="29" t="inlineStr">
        <is>
          <t>Not started</t>
        </is>
      </c>
    </row>
    <row r="8">
      <c r="A8" s="50" t="inlineStr">
        <is>
          <t>Topic and content</t>
        </is>
      </c>
      <c r="B8" s="50" t="inlineStr">
        <is>
          <t>15 minutes of Q&amp;A kept in the runtime</t>
        </is>
      </c>
      <c r="C8" s="50" t="inlineStr">
        <is>
          <t>CTO</t>
        </is>
      </c>
      <c r="D8" s="29" t="inlineStr">
        <is>
          <t>Not started</t>
        </is>
      </c>
    </row>
    <row r="9">
      <c r="A9" s="50" t="inlineStr">
        <is>
          <t>Topic and content</t>
        </is>
      </c>
      <c r="B9" s="50" t="inlineStr">
        <is>
          <t>Live poll questions written</t>
        </is>
      </c>
      <c r="C9" s="50" t="inlineStr">
        <is>
          <t>Shourya</t>
        </is>
      </c>
      <c r="D9" s="29" t="inlineStr">
        <is>
          <t>Not started</t>
        </is>
      </c>
    </row>
    <row r="10">
      <c r="A10" s="50" t="inlineStr">
        <is>
          <t>Audience and targeting</t>
        </is>
      </c>
      <c r="B10" s="50" t="inlineStr">
        <is>
          <t>Job title list and experience band (10–15 years) approved</t>
        </is>
      </c>
      <c r="C10" s="50" t="inlineStr">
        <is>
          <t>Shourya</t>
        </is>
      </c>
      <c r="D10" s="29" t="inlineStr">
        <is>
          <t>Done</t>
        </is>
      </c>
    </row>
    <row r="11">
      <c r="A11" s="50" t="inlineStr">
        <is>
          <t>Audience and targeting</t>
        </is>
      </c>
      <c r="B11" s="50" t="inlineStr">
        <is>
          <t>Decision taken on IT-services companies</t>
        </is>
      </c>
      <c r="C11" s="50" t="inlineStr">
        <is>
          <t>CEO</t>
        </is>
      </c>
      <c r="D11" s="29" t="inlineStr">
        <is>
          <t>Done</t>
        </is>
      </c>
    </row>
    <row r="12">
      <c r="A12" s="50" t="inlineStr">
        <is>
          <t>Audience and targeting</t>
        </is>
      </c>
      <c r="B12" s="50" t="inlineStr">
        <is>
          <t>Exclusion lists built: competitors, existing clients, students, job seekers</t>
        </is>
      </c>
      <c r="C12" s="50" t="inlineStr">
        <is>
          <t>Shourya</t>
        </is>
      </c>
      <c r="D12" s="29" t="inlineStr">
        <is>
          <t>Done</t>
        </is>
      </c>
    </row>
    <row r="13">
      <c r="A13" s="50" t="inlineStr">
        <is>
          <t>Audience and targeting</t>
        </is>
      </c>
      <c r="B13" s="50" t="inlineStr">
        <is>
          <t>Own email list cleaned and segmented</t>
        </is>
      </c>
      <c r="C13" s="50" t="inlineStr">
        <is>
          <t>Shourya</t>
        </is>
      </c>
      <c r="D13" s="29" t="inlineStr">
        <is>
          <t>Not started</t>
        </is>
      </c>
    </row>
    <row r="14">
      <c r="A14" s="50" t="inlineStr">
        <is>
          <t>Audience and targeting</t>
        </is>
      </c>
      <c r="B14" s="50" t="inlineStr">
        <is>
          <t>Meta targeting built with AND logic (titles AND interests)</t>
        </is>
      </c>
      <c r="C14" s="50" t="inlineStr">
        <is>
          <t>Shourya</t>
        </is>
      </c>
      <c r="D14" s="29" t="inlineStr">
        <is>
          <t>Not started</t>
        </is>
      </c>
    </row>
    <row r="15">
      <c r="A15" s="50" t="inlineStr">
        <is>
          <t>Registration and data</t>
        </is>
      </c>
      <c r="B15" s="50" t="inlineStr">
        <is>
          <t>Form built: 5 fields, business email check, “Not sure” option</t>
        </is>
      </c>
      <c r="C15" s="50" t="inlineStr">
        <is>
          <t>Shourya</t>
        </is>
      </c>
      <c r="D15" s="29" t="inlineStr">
        <is>
          <t>Not started</t>
        </is>
      </c>
    </row>
    <row r="16">
      <c r="A16" s="50" t="inlineStr">
        <is>
          <t>Registration and data</t>
        </is>
      </c>
      <c r="B16" s="50" t="inlineStr">
        <is>
          <t>Thank-you page questions live</t>
        </is>
      </c>
      <c r="C16" s="50" t="inlineStr">
        <is>
          <t>Shourya</t>
        </is>
      </c>
      <c r="D16" s="29" t="inlineStr">
        <is>
          <t>Not started</t>
        </is>
      </c>
    </row>
    <row r="17">
      <c r="A17" s="50" t="inlineStr">
        <is>
          <t>Registration and data</t>
        </is>
      </c>
      <c r="B17" s="50" t="inlineStr">
        <is>
          <t>Data-use notice and WhatsApp opt-in box on the form</t>
        </is>
      </c>
      <c r="C17" s="50" t="inlineStr">
        <is>
          <t>Shourya</t>
        </is>
      </c>
      <c r="D17" s="29" t="inlineStr">
        <is>
          <t>Not started</t>
        </is>
      </c>
    </row>
    <row r="18">
      <c r="A18" s="50" t="inlineStr">
        <is>
          <t>Registration and data</t>
        </is>
      </c>
      <c r="B18" s="50" t="inlineStr">
        <is>
          <t>Form → Zoom → CRM connection tested end to end</t>
        </is>
      </c>
      <c r="C18" s="50" t="inlineStr">
        <is>
          <t>Shourya</t>
        </is>
      </c>
      <c r="D18" s="29" t="inlineStr">
        <is>
          <t>Not started</t>
        </is>
      </c>
    </row>
    <row r="19">
      <c r="A19" s="50" t="inlineStr">
        <is>
          <t>Registration and data</t>
        </is>
      </c>
      <c r="B19" s="50" t="inlineStr">
        <is>
          <t>Confirmation email and calendar invite sent automatically</t>
        </is>
      </c>
      <c r="C19" s="50" t="inlineStr">
        <is>
          <t>Shourya</t>
        </is>
      </c>
      <c r="D19" s="29" t="inlineStr">
        <is>
          <t>Not started</t>
        </is>
      </c>
    </row>
    <row r="20">
      <c r="A20" s="50" t="inlineStr">
        <is>
          <t>Registration and data</t>
        </is>
      </c>
      <c r="B20" s="50" t="inlineStr">
        <is>
          <t>Lead scoring rules set up in the CRM</t>
        </is>
      </c>
      <c r="C20" s="50" t="inlineStr">
        <is>
          <t>Shourya</t>
        </is>
      </c>
      <c r="D20" s="29" t="inlineStr">
        <is>
          <t>Not started</t>
        </is>
      </c>
    </row>
    <row r="21">
      <c r="A21" s="50" t="inlineStr">
        <is>
          <t>Tracking</t>
        </is>
      </c>
      <c r="B21" s="50" t="inlineStr">
        <is>
          <t>Lead event fires only on a real form submission (tested)</t>
        </is>
      </c>
      <c r="C21" s="50" t="inlineStr">
        <is>
          <t>Shourya</t>
        </is>
      </c>
      <c r="D21" s="29" t="inlineStr">
        <is>
          <t>Not started</t>
        </is>
      </c>
    </row>
    <row r="22">
      <c r="A22" s="50" t="inlineStr">
        <is>
          <t>Tracking</t>
        </is>
      </c>
      <c r="B22" s="50" t="inlineStr">
        <is>
          <t>LinkedIn Insight Tag fixed and firing</t>
        </is>
      </c>
      <c r="C22" s="50" t="inlineStr">
        <is>
          <t>Shourya</t>
        </is>
      </c>
      <c r="D22" s="29" t="inlineStr">
        <is>
          <t>Not started</t>
        </is>
      </c>
    </row>
    <row r="23">
      <c r="A23" s="50" t="inlineStr">
        <is>
          <t>Tracking</t>
        </is>
      </c>
      <c r="B23" s="50" t="inlineStr">
        <is>
          <t>Meta Pixel registration event tested</t>
        </is>
      </c>
      <c r="C23" s="50" t="inlineStr">
        <is>
          <t>Shourya</t>
        </is>
      </c>
      <c r="D23" s="29" t="inlineStr">
        <is>
          <t>Not started</t>
        </is>
      </c>
    </row>
    <row r="24">
      <c r="A24" s="50" t="inlineStr">
        <is>
          <t>Tracking</t>
        </is>
      </c>
      <c r="B24" s="50" t="inlineStr">
        <is>
          <t>UTM naming set for every ad, email and post</t>
        </is>
      </c>
      <c r="C24" s="50" t="inlineStr">
        <is>
          <t>Shourya</t>
        </is>
      </c>
      <c r="D24" s="29" t="inlineStr">
        <is>
          <t>Not started</t>
        </is>
      </c>
    </row>
    <row r="25" ht="30.75" customHeight="1">
      <c r="A25" s="50" t="inlineStr">
        <is>
          <t>Landing page and creative</t>
        </is>
      </c>
      <c r="B25" s="50" t="inlineStr">
        <is>
          <t>Landing page with the promise above the fold</t>
        </is>
      </c>
      <c r="C25" s="50" t="inlineStr">
        <is>
          <t>Shourya</t>
        </is>
      </c>
      <c r="D25" s="29" t="inlineStr">
        <is>
          <t>Not started</t>
        </is>
      </c>
    </row>
    <row r="26" ht="30.75" customHeight="1">
      <c r="A26" s="50" t="inlineStr">
        <is>
          <t>Landing page and creative</t>
        </is>
      </c>
      <c r="B26" s="50" t="inlineStr">
        <is>
          <t>CEO/CTO video recorded and embedded</t>
        </is>
      </c>
      <c r="C26" s="50" t="inlineStr">
        <is>
          <t>CEO + CTO</t>
        </is>
      </c>
      <c r="D26" s="29" t="inlineStr">
        <is>
          <t>Not started</t>
        </is>
      </c>
    </row>
    <row r="27" ht="30.75" customHeight="1">
      <c r="A27" s="50" t="inlineStr">
        <is>
          <t>Landing page and creative</t>
        </is>
      </c>
      <c r="B27" s="50" t="inlineStr">
        <is>
          <t>Speaker section and agenda written</t>
        </is>
      </c>
      <c r="C27" s="50" t="inlineStr">
        <is>
          <t>Shourya</t>
        </is>
      </c>
      <c r="D27" s="29" t="inlineStr">
        <is>
          <t>Not started</t>
        </is>
      </c>
    </row>
    <row r="28" ht="30.75" customHeight="1">
      <c r="A28" s="50" t="inlineStr">
        <is>
          <t>Landing page and creative</t>
        </is>
      </c>
      <c r="B28" s="50" t="inlineStr">
        <is>
          <t>Checked on mobile</t>
        </is>
      </c>
      <c r="C28" s="50" t="inlineStr">
        <is>
          <t>Shourya</t>
        </is>
      </c>
      <c r="D28" s="29" t="inlineStr">
        <is>
          <t>Not started</t>
        </is>
      </c>
    </row>
    <row r="29" ht="30.75" customHeight="1">
      <c r="A29" s="50" t="inlineStr">
        <is>
          <t>Landing page and creative</t>
        </is>
      </c>
      <c r="B29" s="50" t="inlineStr">
        <is>
          <t>3+ static creatives, 1 carousel, 1 short video per stage</t>
        </is>
      </c>
      <c r="C29" s="50" t="inlineStr">
        <is>
          <t>Shourya</t>
        </is>
      </c>
      <c r="D29" s="29" t="inlineStr">
        <is>
          <t>Not started</t>
        </is>
      </c>
    </row>
    <row r="30">
      <c r="A30" s="50" t="inlineStr">
        <is>
          <t>Media</t>
        </is>
      </c>
      <c r="B30" s="50" t="inlineStr">
        <is>
          <t>Test budget approved</t>
        </is>
      </c>
      <c r="C30" s="50" t="inlineStr">
        <is>
          <t>CEO</t>
        </is>
      </c>
      <c r="D30" s="29" t="inlineStr">
        <is>
          <t>Not started</t>
        </is>
      </c>
    </row>
    <row r="31">
      <c r="A31" s="50" t="inlineStr">
        <is>
          <t>Media</t>
        </is>
      </c>
      <c r="B31" s="50" t="inlineStr">
        <is>
          <t>Campaigns built and named consistently</t>
        </is>
      </c>
      <c r="C31" s="50" t="inlineStr">
        <is>
          <t>Shourya</t>
        </is>
      </c>
      <c r="D31" s="29" t="inlineStr">
        <is>
          <t>Not started</t>
        </is>
      </c>
    </row>
    <row r="32">
      <c r="A32" s="50" t="inlineStr">
        <is>
          <t>Media</t>
        </is>
      </c>
      <c r="B32" s="50" t="inlineStr">
        <is>
          <t>Daily pacing sheet against the 150 target</t>
        </is>
      </c>
      <c r="C32" s="50" t="inlineStr">
        <is>
          <t>Shourya</t>
        </is>
      </c>
      <c r="D32" s="29" t="inlineStr">
        <is>
          <t>Not started</t>
        </is>
      </c>
    </row>
    <row r="33">
      <c r="A33" s="50" t="inlineStr">
        <is>
          <t>Media</t>
        </is>
      </c>
      <c r="B33" s="50" t="inlineStr">
        <is>
          <t>Day-5 review booked with the CEO</t>
        </is>
      </c>
      <c r="C33" s="50" t="inlineStr">
        <is>
          <t>Shourya</t>
        </is>
      </c>
      <c r="D33" s="29" t="inlineStr">
        <is>
          <t>Not started</t>
        </is>
      </c>
    </row>
    <row r="34">
      <c r="A34" s="50" t="inlineStr">
        <is>
          <t>Media</t>
        </is>
      </c>
      <c r="B34" s="50" t="inlineStr">
        <is>
          <t>Rules for pausing weak creatives written down</t>
        </is>
      </c>
      <c r="C34" s="50" t="inlineStr">
        <is>
          <t>Shourya</t>
        </is>
      </c>
      <c r="D34" s="29" t="inlineStr">
        <is>
          <t>Not started</t>
        </is>
      </c>
    </row>
    <row r="35" ht="30.75" customHeight="1">
      <c r="A35" s="50" t="inlineStr">
        <is>
          <t>Reminders and follow-up</t>
        </is>
      </c>
      <c r="B35" s="50" t="inlineStr">
        <is>
          <t>Email reminders written: 7 days, 1 day, 1 hour</t>
        </is>
      </c>
      <c r="C35" s="50" t="inlineStr">
        <is>
          <t>Shourya</t>
        </is>
      </c>
      <c r="D35" s="29" t="inlineStr">
        <is>
          <t>Not started</t>
        </is>
      </c>
    </row>
    <row r="36" ht="30.75" customHeight="1">
      <c r="A36" s="50" t="inlineStr">
        <is>
          <t>Reminders and follow-up</t>
        </is>
      </c>
      <c r="B36" s="50" t="inlineStr">
        <is>
          <t>WhatsApp API provider set up and templates approved by Meta</t>
        </is>
      </c>
      <c r="C36" s="50" t="inlineStr">
        <is>
          <t>Shourya</t>
        </is>
      </c>
      <c r="D36" s="29" t="inlineStr">
        <is>
          <t>Not started</t>
        </is>
      </c>
    </row>
    <row r="37" ht="30.75" customHeight="1">
      <c r="A37" s="50" t="inlineStr">
        <is>
          <t>Reminders and follow-up</t>
        </is>
      </c>
      <c r="B37" s="50" t="inlineStr">
        <is>
          <t>Thank-you email for attendees drafted</t>
        </is>
      </c>
      <c r="C37" s="50" t="inlineStr">
        <is>
          <t>Shourya</t>
        </is>
      </c>
      <c r="D37" s="29" t="inlineStr">
        <is>
          <t>Not started</t>
        </is>
      </c>
    </row>
    <row r="38" ht="30.75" customHeight="1">
      <c r="A38" s="50" t="inlineStr">
        <is>
          <t>Reminders and follow-up</t>
        </is>
      </c>
      <c r="B38" s="50" t="inlineStr">
        <is>
          <t>Recording + booking link email for no-shows drafted</t>
        </is>
      </c>
      <c r="C38" s="50" t="inlineStr">
        <is>
          <t>Shourya</t>
        </is>
      </c>
      <c r="D38" s="29" t="inlineStr">
        <is>
          <t>Not started</t>
        </is>
      </c>
    </row>
    <row r="39" ht="30.75" customHeight="1">
      <c r="A39" s="50" t="inlineStr">
        <is>
          <t>Reminders and follow-up</t>
        </is>
      </c>
      <c r="B39" s="50" t="inlineStr">
        <is>
          <t>Booking link created and tested</t>
        </is>
      </c>
      <c r="C39" s="50" t="inlineStr">
        <is>
          <t>Shourya</t>
        </is>
      </c>
      <c r="D39" s="29" t="inlineStr">
        <is>
          <t>Not started</t>
        </is>
      </c>
    </row>
    <row r="40" ht="30.75" customHeight="1">
      <c r="A40" s="50" t="inlineStr">
        <is>
          <t>Reminders and follow-up</t>
        </is>
      </c>
      <c r="B40" s="50" t="inlineStr">
        <is>
          <t>Sales owner named and hand-off agreed</t>
        </is>
      </c>
      <c r="C40" s="50" t="inlineStr">
        <is>
          <t>CEO</t>
        </is>
      </c>
      <c r="D40" s="29" t="inlineStr">
        <is>
          <t>Not started</t>
        </is>
      </c>
    </row>
    <row r="41">
      <c r="A41" s="50" t="inlineStr">
        <is>
          <t>Delivery</t>
        </is>
      </c>
      <c r="B41" s="50" t="inlineStr">
        <is>
          <t>Zoom Webinars licence bought</t>
        </is>
      </c>
      <c r="C41" s="50" t="inlineStr">
        <is>
          <t>Shourya</t>
        </is>
      </c>
      <c r="D41" s="29" t="inlineStr">
        <is>
          <t>Not started</t>
        </is>
      </c>
    </row>
    <row r="42">
      <c r="A42" s="50" t="inlineStr">
        <is>
          <t>Delivery</t>
        </is>
      </c>
      <c r="B42" s="50" t="inlineStr">
        <is>
          <t>Mock call done: deck, timing, audio, screen share</t>
        </is>
      </c>
      <c r="C42" s="50" t="inlineStr">
        <is>
          <t>CEO + CTO</t>
        </is>
      </c>
      <c r="D42" s="29" t="inlineStr">
        <is>
          <t>Not started</t>
        </is>
      </c>
    </row>
    <row r="43">
      <c r="A43" s="50" t="inlineStr">
        <is>
          <t>Delivery</t>
        </is>
      </c>
      <c r="B43" s="50" t="inlineStr">
        <is>
          <t>Moderator for Q&amp;A and chat assigned</t>
        </is>
      </c>
      <c r="C43" s="50" t="inlineStr">
        <is>
          <t>Shourya</t>
        </is>
      </c>
      <c r="D43" s="29" t="inlineStr">
        <is>
          <t>Not started</t>
        </is>
      </c>
    </row>
    <row r="44">
      <c r="A44" s="50" t="inlineStr">
        <is>
          <t>Delivery</t>
        </is>
      </c>
      <c r="B44" s="50" t="inlineStr">
        <is>
          <t>Recording turned on; storage location decided</t>
        </is>
      </c>
      <c r="C44" s="50" t="inlineStr">
        <is>
          <t>Shourya</t>
        </is>
      </c>
      <c r="D44" s="29" t="inlineStr">
        <is>
          <t>Not started</t>
        </is>
      </c>
    </row>
    <row r="45">
      <c r="A45" s="50" t="inlineStr">
        <is>
          <t>Delivery</t>
        </is>
      </c>
      <c r="B45" s="50" t="inlineStr">
        <is>
          <t>Backup plan if a speaker's connection drops</t>
        </is>
      </c>
      <c r="C45" s="50" t="inlineStr">
        <is>
          <t>Shourya</t>
        </is>
      </c>
      <c r="D45" s="29" t="inlineStr">
        <is>
          <t>Not started</t>
        </is>
      </c>
    </row>
    <row r="46">
      <c r="A46" s="50" t="inlineStr">
        <is>
          <t>Measurement</t>
        </is>
      </c>
      <c r="B46" s="50" t="inlineStr">
        <is>
          <t>Cost per registration and per qualified registration, by platform</t>
        </is>
      </c>
      <c r="C46" s="50" t="inlineStr">
        <is>
          <t>Shourya</t>
        </is>
      </c>
      <c r="D46" s="29" t="inlineStr">
        <is>
          <t>Not started</t>
        </is>
      </c>
    </row>
    <row r="47">
      <c r="A47" s="50" t="inlineStr">
        <is>
          <t>Measurement</t>
        </is>
      </c>
      <c r="B47" s="50" t="inlineStr">
        <is>
          <t>Show-up rate and average watch time recorded</t>
        </is>
      </c>
      <c r="C47" s="50" t="inlineStr">
        <is>
          <t>Shourya</t>
        </is>
      </c>
      <c r="D47" s="29" t="inlineStr">
        <is>
          <t>Not started</t>
        </is>
      </c>
    </row>
    <row r="48">
      <c r="A48" s="50" t="inlineStr">
        <is>
          <t>Measurement</t>
        </is>
      </c>
      <c r="B48" s="50" t="inlineStr">
        <is>
          <t>Meetings booked from the webinar tracked</t>
        </is>
      </c>
      <c r="C48" s="50" t="inlineStr">
        <is>
          <t>Sales</t>
        </is>
      </c>
      <c r="D48" s="29" t="inlineStr">
        <is>
          <t>Not started</t>
        </is>
      </c>
    </row>
    <row r="49">
      <c r="A49" s="50" t="inlineStr">
        <is>
          <t>Measurement</t>
        </is>
      </c>
      <c r="B49" s="50" t="inlineStr">
        <is>
          <t>Post-mortem within 5 days</t>
        </is>
      </c>
      <c r="C49" s="50" t="inlineStr">
        <is>
          <t>Shourya</t>
        </is>
      </c>
      <c r="D49" s="29" t="inlineStr">
        <is>
          <t>Not started</t>
        </is>
      </c>
    </row>
    <row r="50">
      <c r="A50" s="50" t="inlineStr">
        <is>
          <t>Topic and content</t>
        </is>
      </c>
      <c r="B50" s="50" t="inlineStr">
        <is>
          <t>Topic 6 approved; deck rebuilt around the 5 leaks + live bill teardown</t>
        </is>
      </c>
      <c r="C50" s="50" t="inlineStr">
        <is>
          <t>CEO + CTO</t>
        </is>
      </c>
      <c r="D50" s="29" t="inlineStr">
        <is>
          <t>Not started</t>
        </is>
      </c>
    </row>
    <row r="51">
      <c r="A51" s="50" t="inlineStr">
        <is>
          <t>Landing page and creative</t>
        </is>
      </c>
      <c r="B51" s="50" t="inlineStr">
        <is>
          <t>VSL (V1) recorded and edited with captions</t>
        </is>
      </c>
      <c r="C51" s="50" t="inlineStr">
        <is>
          <t>CTO + editor</t>
        </is>
      </c>
      <c r="D51" s="29" t="inlineStr">
        <is>
          <t>Not started</t>
        </is>
      </c>
    </row>
    <row r="52">
      <c r="A52" s="50" t="inlineStr">
        <is>
          <t>Landing page and creative</t>
        </is>
      </c>
      <c r="B52" s="50" t="inlineStr">
        <is>
          <t>Short videos V2–V10 edited in all sizes</t>
        </is>
      </c>
      <c r="C52" s="50" t="inlineStr">
        <is>
          <t>Editor</t>
        </is>
      </c>
      <c r="D52" s="29" t="inlineStr">
        <is>
          <t>Not started</t>
        </is>
      </c>
    </row>
    <row r="53">
      <c r="A53" s="50" t="inlineStr">
        <is>
          <t>Landing page and creative</t>
        </is>
      </c>
      <c r="B53" s="50" t="inlineStr">
        <is>
          <t>Statics S1–S6, carousels C1–C3, LinkedIn document L1 designed</t>
        </is>
      </c>
      <c r="C53" s="50" t="inlineStr">
        <is>
          <t>Designer</t>
        </is>
      </c>
      <c r="D53" s="29" t="inlineStr">
        <is>
          <t>Not started</t>
        </is>
      </c>
    </row>
    <row r="54">
      <c r="A54" s="50" t="inlineStr">
        <is>
          <t>Landing page and creative</t>
        </is>
      </c>
      <c r="B54" s="50" t="inlineStr">
        <is>
          <t>27-point Cost Leak Checklist written and designed</t>
        </is>
      </c>
      <c r="C54" s="50" t="inlineStr">
        <is>
          <t>CTO + designer</t>
        </is>
      </c>
      <c r="D54" s="29" t="inlineStr">
        <is>
          <t>Not started</t>
        </is>
      </c>
    </row>
    <row r="55">
      <c r="A55" s="50" t="inlineStr">
        <is>
          <t>Landing page and creative</t>
        </is>
      </c>
      <c r="B55" s="50" t="inlineStr">
        <is>
          <t>AI Cost Guardrails Pack (Git repo) built</t>
        </is>
      </c>
      <c r="C55" s="50" t="inlineStr">
        <is>
          <t>CTO team</t>
        </is>
      </c>
      <c r="D55" s="29" t="inlineStr">
        <is>
          <t>Not started</t>
        </is>
      </c>
    </row>
    <row r="56">
      <c r="A56" s="50" t="inlineStr">
        <is>
          <t>Media</t>
        </is>
      </c>
      <c r="B56" s="50" t="inlineStr">
        <is>
          <t>Meta ad sets M1–M4 built with exclusions</t>
        </is>
      </c>
      <c r="C56" s="50" t="inlineStr">
        <is>
          <t>Shourya</t>
        </is>
      </c>
      <c r="D56" s="29" t="inlineStr">
        <is>
          <t>Not started</t>
        </is>
      </c>
    </row>
    <row r="57">
      <c r="A57" s="50" t="inlineStr">
        <is>
          <t>Media</t>
        </is>
      </c>
      <c r="B57" s="50" t="inlineStr">
        <is>
          <t>LinkedIn Lead Gen Form + Thought Leader Ads set up</t>
        </is>
      </c>
      <c r="C57" s="50" t="inlineStr">
        <is>
          <t>Shourya</t>
        </is>
      </c>
      <c r="D57" s="29" t="inlineStr">
        <is>
          <t>Not started</t>
        </is>
      </c>
    </row>
    <row r="58">
      <c r="A58" s="50" t="inlineStr">
        <is>
          <t>Media</t>
        </is>
      </c>
      <c r="B58" s="50" t="inlineStr">
        <is>
          <t>Google Search (3 ad groups + negatives) and Demand Gen built</t>
        </is>
      </c>
      <c r="C58" s="50" t="inlineStr">
        <is>
          <t>Shourya</t>
        </is>
      </c>
      <c r="D58" s="29" t="inlineStr">
        <is>
          <t>Not started</t>
        </is>
      </c>
    </row>
    <row r="59">
      <c r="A59" s="50" t="inlineStr">
        <is>
          <t>Reminders and follow-up</t>
        </is>
      </c>
      <c r="B59" s="50" t="inlineStr">
        <is>
          <t>Email &amp; WhatsApp sequence loaded (13 messages); templates approved</t>
        </is>
      </c>
      <c r="C59" s="50" t="inlineStr">
        <is>
          <t>Shourya</t>
        </is>
      </c>
      <c r="D59" s="29" t="inlineStr">
        <is>
          <t>Not started</t>
        </is>
      </c>
    </row>
    <row r="60">
      <c r="A60" s="50" t="inlineStr">
        <is>
          <t>Delivery</t>
        </is>
      </c>
      <c r="B60" s="50" t="inlineStr">
        <is>
          <t>Zoom Webinars 500 licence bought (replaces the 100-seat plan)</t>
        </is>
      </c>
      <c r="C60" s="50" t="inlineStr">
        <is>
          <t>Shourya</t>
        </is>
      </c>
      <c r="D60" s="29" t="inlineStr">
        <is>
          <t>Not started</t>
        </is>
      </c>
    </row>
    <row r="61">
      <c r="A61" s="50" t="inlineStr">
        <is>
          <t>Delivery</t>
        </is>
      </c>
      <c r="B61" s="50" t="inlineStr">
        <is>
          <t>Lucky draw code-word form and vouchers ready</t>
        </is>
      </c>
      <c r="C61" s="50" t="inlineStr">
        <is>
          <t>Shourya</t>
        </is>
      </c>
      <c r="D61" s="29" t="inlineStr">
        <is>
          <t>Not started</t>
        </is>
      </c>
    </row>
  </sheetData>
  <autoFilter ref="A3:D49"/>
  <dataValidations count="1">
    <dataValidation sqref="D4:D61" showDropDown="0" showInputMessage="0" showErrorMessage="0" allowBlank="1" type="list">
      <formula1>"Not started,In progress,Done"</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2026-09-21T05:14:52Z</dcterms:created>
  <dcterms:modified xsi:type="dcterms:W3CDTF">2026-10-04T15:06:58Z</dcterms:modified>
  <cp:lastModifiedBy>Shourya Shikher</cp:lastModifiedBy>
</cp:coreProperties>
</file>