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 Summary" sheetId="1" state="visible" r:id="rId1"/>
    <sheet name="Inputs" sheetId="2" state="visible" r:id="rId2"/>
    <sheet name="Funnel" sheetId="3" state="visible" r:id="rId3"/>
    <sheet name="Channel Plan" sheetId="4" state="visible" r:id="rId4"/>
    <sheet name="Weekly Plan" sheetId="5" state="visible" r:id="rId5"/>
    <sheet name="Targeting &amp; Ads" sheetId="6" state="visible" r:id="rId6"/>
    <sheet name="Show-up Plan" sheetId="7" state="visible" r:id="rId7"/>
    <sheet name="Rules" sheetId="8" state="visible" r:id="rId8"/>
    <sheet name="What-If" sheetId="9" state="visible" r:id="rId9"/>
    <sheet name="Gloss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;(0.0%);&quot;-&quot;"/>
    <numFmt numFmtId="166" formatCode="&quot;₹&quot;#,##0;(&quot;₹&quot;#,##0);&quot;-&quot;"/>
    <numFmt numFmtId="167" formatCode="0&quot; live (target)&quot;"/>
    <numFmt numFmtId="168" formatCode="+0%;-0%;0%"/>
    <numFmt numFmtId="169" formatCode="&quot;₹&quot;0.0&quot; lakh&quot;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  <font>
      <name val="Arial"/>
      <b val="1"/>
      <color rgb="001F3864"/>
      <sz val="14"/>
    </font>
    <font>
      <name val="Arial"/>
      <b val="1"/>
      <color rgb="00008000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EAF1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5" borderId="1" applyAlignment="1" pivotButton="0" quotePrefix="0" xfId="0">
      <alignment vertical="top" wrapText="1"/>
    </xf>
    <xf numFmtId="164" fontId="12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6" fontId="12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169" fontId="8" fillId="0" borderId="1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7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horizontal="right"/>
    </xf>
    <xf numFmtId="166" fontId="7" fillId="4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0" fontId="5" fillId="4" borderId="1" applyAlignment="1" pivotButton="0" quotePrefix="0" xfId="0">
      <alignment vertical="top" wrapText="1"/>
    </xf>
    <xf numFmtId="0" fontId="5" fillId="0" borderId="0" pivotButton="0" quotePrefix="0" xfId="0"/>
    <xf numFmtId="164" fontId="6" fillId="3" borderId="1" applyAlignment="1" pivotButton="0" quotePrefix="0" xfId="0">
      <alignment horizontal="right"/>
    </xf>
    <xf numFmtId="165" fontId="6" fillId="3" borderId="1" applyAlignment="1" pivotButton="0" quotePrefix="0" xfId="0">
      <alignment horizontal="right"/>
    </xf>
    <xf numFmtId="166" fontId="6" fillId="3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9" fillId="5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9" fillId="5" borderId="1" applyAlignment="1" pivotButton="0" quotePrefix="0" xfId="0">
      <alignment horizontal="right"/>
    </xf>
    <xf numFmtId="168" fontId="10" fillId="3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Ad spend by platform (₹)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'CEO Summary'!$A$14:$A$16</f>
            </numRef>
          </cat>
          <val>
            <numRef>
              <f>'CEO Summary'!$C$14:$C$16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From registration to meeting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'Funnel'!$A$7:$A$10</f>
            </numRef>
          </cat>
          <val>
            <numRef>
              <f>'Funnel'!$B$7:$B$10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20" customWidth="1" min="4" max="4"/>
    <col width="18" customWidth="1" min="5" max="5"/>
    <col width="40" customWidth="1" min="6" max="6"/>
  </cols>
  <sheetData>
    <row r="1">
      <c r="A1" s="1" t="inlineStr">
        <is>
          <t>Zarthi webinar: 200 live attendees from Google, Meta and LinkedIn ads only</t>
        </is>
      </c>
    </row>
    <row r="2">
      <c r="A2" s="2" t="inlineStr">
        <is>
          <t>One-page summary for the CEO. All numbers update automatically from the Inputs tab.</t>
        </is>
      </c>
    </row>
    <row r="4">
      <c r="A4" s="3" t="inlineStr">
        <is>
          <t>The answer in 5 numbers</t>
        </is>
      </c>
    </row>
    <row r="5" ht="24" customHeight="1">
      <c r="A5" s="4" t="inlineStr">
        <is>
          <t>People who attend LIVE (goal)</t>
        </is>
      </c>
      <c r="B5" s="5">
        <f>Funnel!B8</f>
        <v>200.0</v>
      </c>
      <c r="C5" s="6" t="n"/>
      <c r="D5" s="7" t="n"/>
    </row>
    <row r="6" ht="24" customHeight="1">
      <c r="A6" s="4" t="inlineStr">
        <is>
          <t>Registrations we must buy with ads</t>
        </is>
      </c>
      <c r="B6" s="5">
        <f>Funnel!B7</f>
        <v>800.0</v>
      </c>
      <c r="C6" s="6" t="n"/>
      <c r="D6" s="7" t="n"/>
    </row>
    <row r="7" ht="24" customHeight="1">
      <c r="A7" s="4" t="inlineStr">
        <is>
          <t>Total budget, everything included</t>
        </is>
      </c>
      <c r="B7" s="8">
        <f>'Channel Plan'!E21</f>
        <v>594120.0</v>
      </c>
      <c r="C7" s="6" t="n"/>
      <c r="D7" s="7" t="n"/>
    </row>
    <row r="8" ht="24" customHeight="1">
      <c r="A8" s="4" t="inlineStr">
        <is>
          <t>Cost per live attendee</t>
        </is>
      </c>
      <c r="B8" s="8">
        <f>'Channel Plan'!E22</f>
        <v>2970.6</v>
      </c>
      <c r="C8" s="6" t="n"/>
      <c r="D8" s="7" t="n"/>
    </row>
    <row r="9" ht="24" customHeight="1">
      <c r="A9" s="4" t="inlineStr">
        <is>
          <t>Time needed</t>
        </is>
      </c>
      <c r="B9" s="9" t="inlineStr">
        <is>
          <t>7 weeks (1 setup + 5 ads + live day + 1 follow-up)</t>
        </is>
      </c>
      <c r="C9" s="6" t="n"/>
      <c r="D9" s="7" t="n"/>
    </row>
    <row r="10">
      <c r="A10" s="10" t="inlineStr">
        <is>
          <t>Total budget in lakh</t>
        </is>
      </c>
      <c r="B10" s="11">
        <f>'Channel Plan'!E21/100000</f>
        <v>5.9412</v>
      </c>
      <c r="C10" s="6" t="n"/>
      <c r="D10" s="7" t="n"/>
    </row>
    <row r="12">
      <c r="A12" s="3" t="inlineStr">
        <is>
          <t>Where the money goes</t>
        </is>
      </c>
    </row>
    <row r="13" ht="32" customHeight="1">
      <c r="A13" s="12" t="inlineStr">
        <is>
          <t>Platform</t>
        </is>
      </c>
      <c r="B13" s="12" t="inlineStr">
        <is>
          <t>Registrations</t>
        </is>
      </c>
      <c r="C13" s="12" t="inlineStr">
        <is>
          <t>Ad spend (₹)</t>
        </is>
      </c>
      <c r="D13" s="12" t="inlineStr">
        <is>
          <t>Cost per registration (₹)</t>
        </is>
      </c>
      <c r="E13" s="12" t="inlineStr">
        <is>
          <t>% of ad spend</t>
        </is>
      </c>
      <c r="F13" s="12" t="inlineStr">
        <is>
          <t>Its job</t>
        </is>
      </c>
    </row>
    <row r="14">
      <c r="A14" s="13" t="inlineStr">
        <is>
          <t>Meta</t>
        </is>
      </c>
      <c r="B14" s="14">
        <f>'Channel Plan'!C28</f>
        <v>480.0</v>
      </c>
      <c r="C14" s="15">
        <f>'Channel Plan'!E28</f>
        <v>117000.0</v>
      </c>
      <c r="D14" s="15">
        <f>'Channel Plan'!D28</f>
        <v>243.75</v>
      </c>
      <c r="E14" s="16">
        <f>'Channel Plan'!H28</f>
        <v>0.2727272727272727</v>
      </c>
      <c r="F14" s="10" t="inlineStr">
        <is>
          <t>Volume: cheapest registrations, mixed quality</t>
        </is>
      </c>
    </row>
    <row r="15">
      <c r="A15" s="13" t="inlineStr">
        <is>
          <t>LinkedIn</t>
        </is>
      </c>
      <c r="B15" s="14">
        <f>'Channel Plan'!C29</f>
        <v>160.0</v>
      </c>
      <c r="C15" s="15">
        <f>'Channel Plan'!E29</f>
        <v>208000.0</v>
      </c>
      <c r="D15" s="15">
        <f>'Channel Plan'!D29</f>
        <v>1300.0</v>
      </c>
      <c r="E15" s="16">
        <f>'Channel Plan'!H29</f>
        <v>0.48484848484848486</v>
      </c>
      <c r="F15" s="10" t="inlineStr">
        <is>
          <t>Quality: reaches the exact job titles we want</t>
        </is>
      </c>
    </row>
    <row r="16">
      <c r="A16" s="13" t="inlineStr">
        <is>
          <t>Google</t>
        </is>
      </c>
      <c r="B16" s="14">
        <f>'Channel Plan'!C30</f>
        <v>160.0</v>
      </c>
      <c r="C16" s="15">
        <f>'Channel Plan'!E30</f>
        <v>104000.0</v>
      </c>
      <c r="D16" s="15">
        <f>'Channel Plan'!D30</f>
        <v>650.0</v>
      </c>
      <c r="E16" s="16">
        <f>'Channel Plan'!H30</f>
        <v>0.24242424242424243</v>
      </c>
      <c r="F16" s="10" t="inlineStr">
        <is>
          <t>Intent: people already searching cloud cost topics</t>
        </is>
      </c>
    </row>
    <row r="17">
      <c r="A17" s="17" t="inlineStr">
        <is>
          <t>Total ad spend</t>
        </is>
      </c>
      <c r="B17" s="18">
        <f>SUM(B14:B16)</f>
        <v>800.0</v>
      </c>
      <c r="C17" s="19">
        <f>SUM(C14:C16)</f>
        <v>429000.0</v>
      </c>
      <c r="D17" s="19">
        <f>IFERROR(C17/B17,0)</f>
        <v>536.25</v>
      </c>
      <c r="E17" s="20">
        <f>SUM(E14:E16)</f>
        <v>1.0</v>
      </c>
      <c r="F17" s="21" t="inlineStr"/>
    </row>
    <row r="18">
      <c r="A18" s="10" t="inlineStr">
        <is>
          <t>+ GST, test buffer, tools, lucky draw</t>
        </is>
      </c>
      <c r="C18" s="15">
        <f>'Channel Plan'!E21-C17</f>
        <v>165120.0</v>
      </c>
    </row>
    <row r="19">
      <c r="A19" s="17" t="inlineStr">
        <is>
          <t>Total budget</t>
        </is>
      </c>
      <c r="B19" s="21" t="inlineStr"/>
      <c r="C19" s="19">
        <f>C17+C18</f>
        <v>594120.0</v>
      </c>
      <c r="D19" s="21" t="inlineStr"/>
      <c r="E19" s="21" t="inlineStr"/>
      <c r="F19" s="21" t="inlineStr"/>
    </row>
    <row r="21">
      <c r="A21" s="3" t="inlineStr">
        <is>
          <t>How it works, in 4 steps</t>
        </is>
      </c>
    </row>
    <row r="22">
      <c r="A22" s="22" t="inlineStr">
        <is>
          <t>1. Week 1 TEST: run small budgets on many ads to learn the real cost per registration on each platform.</t>
        </is>
      </c>
    </row>
    <row r="23">
      <c r="A23" s="22" t="inlineStr">
        <is>
          <t>2. Weeks 2–4 SCALE: stop the losers and put the money on the winning ads and audiences.</t>
        </is>
      </c>
    </row>
    <row r="24">
      <c r="A24" s="22" t="inlineStr">
        <is>
          <t>3. Week 5 FINAL PUSH: countdown ads and 8 reminders by email, WhatsApp and phone so registrants actually show up.</t>
        </is>
      </c>
    </row>
    <row r="25">
      <c r="A25" s="22" t="inlineStr">
        <is>
          <t>4. Live day + Week 6: run the webinar, then offer a free cloud cost assessment and hand warm leads to sales within 72 hours.</t>
        </is>
      </c>
    </row>
    <row r="27">
      <c r="A27" s="3" t="inlineStr">
        <is>
          <t>Being realistic: the 3 biggest risks</t>
        </is>
      </c>
    </row>
    <row r="28">
      <c r="A28" s="22" t="inlineStr">
        <is>
          <t>1. Show-up: people from ads forget. At 20% show-up instead of 25% we need ~1,000 registrations and more budget (see the What-If tab).</t>
        </is>
      </c>
    </row>
    <row r="29">
      <c r="A29" s="22" t="inlineStr">
        <is>
          <t>2. Costs are estimates: this is the first webinar, so costs are based on industry benchmarks. Week 1 gives our real numbers and we update this file.</t>
        </is>
      </c>
    </row>
    <row r="30">
      <c r="A30" s="22" t="inlineStr">
        <is>
          <t>3. Meta brings volume but some low-quality sign-ups. LinkedIn keeps the audience senior. We check audience quality daily.</t>
        </is>
      </c>
    </row>
    <row r="32">
      <c r="A32" s="3" t="inlineStr">
        <is>
          <t>Decisions needed from the CEO to start</t>
        </is>
      </c>
    </row>
    <row r="33">
      <c r="A33" s="22" t="inlineStr">
        <is>
          <t>☐ Approve the total budget shown above</t>
        </is>
      </c>
    </row>
    <row r="34">
      <c r="A34" s="22" t="inlineStr">
        <is>
          <t>☐ Pick the webinar date and time (at least 7 weeks from approval)</t>
        </is>
      </c>
    </row>
    <row r="35">
      <c r="A35" s="22" t="inlineStr">
        <is>
          <t>☐ Approve the webinar title and topic</t>
        </is>
      </c>
    </row>
    <row r="36">
      <c r="A36" s="22" t="inlineStr">
        <is>
          <t>☐ 2 hours of CEO + CTO time to shoot the ad videos</t>
        </is>
      </c>
    </row>
    <row r="37">
      <c r="A37" s="22" t="inlineStr">
        <is>
          <t>☐ OK to run LinkedIn ads from CEO/CTO posts (Thought Leader Ads)</t>
        </is>
      </c>
    </row>
    <row r="38">
      <c r="A38" s="22" t="inlineStr">
        <is>
          <t>☐ Define "200": peak live viewers at one time or total unique people who joined</t>
        </is>
      </c>
    </row>
  </sheetData>
  <mergeCells count="6">
    <mergeCell ref="B10:D10"/>
    <mergeCell ref="B5:D5"/>
    <mergeCell ref="B8:D8"/>
    <mergeCell ref="B9:D9"/>
    <mergeCell ref="B7:D7"/>
    <mergeCell ref="B6:D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60" customWidth="1" min="7" max="7"/>
  </cols>
  <sheetData>
    <row r="1">
      <c r="A1" s="1" t="inlineStr">
        <is>
          <t>Inputs: change the yellow cells, everything else updates</t>
        </is>
      </c>
    </row>
    <row r="2">
      <c r="A2" s="2" t="inlineStr">
        <is>
          <t>Blue text on yellow = an assumption you can edit. Black = formula. Green = pulled from another tab.</t>
        </is>
      </c>
    </row>
    <row r="4">
      <c r="A4" s="3" t="inlineStr">
        <is>
          <t>A. Goal and show-up</t>
        </is>
      </c>
    </row>
    <row r="5" ht="32" customHeight="1">
      <c r="A5" s="12" t="inlineStr">
        <is>
          <t>Assumption</t>
        </is>
      </c>
      <c r="B5" s="12" t="inlineStr">
        <is>
          <t>Value</t>
        </is>
      </c>
      <c r="C5" s="12" t="inlineStr"/>
      <c r="D5" s="12" t="inlineStr"/>
      <c r="E5" s="12" t="inlineStr"/>
      <c r="F5" s="12" t="inlineStr"/>
      <c r="G5" s="12" t="inlineStr">
        <is>
          <t>Why this number (source / logic)</t>
        </is>
      </c>
    </row>
    <row r="6">
      <c r="A6" s="10" t="inlineStr">
        <is>
          <t>Target: people who attend LIVE</t>
        </is>
      </c>
      <c r="B6" s="23" t="n">
        <v>200</v>
      </c>
      <c r="G6" s="10" t="inlineStr">
        <is>
          <t>Your goal. Decide with the CEO whether 200 means peak concurrent viewers or total unique joiners (this plan uses total unique joiners).</t>
        </is>
      </c>
    </row>
    <row r="7">
      <c r="A7" s="10" t="inlineStr">
        <is>
          <t>Show-up rate (registered → attend live)</t>
        </is>
      </c>
      <c r="B7" s="24" t="n">
        <v>0.25</v>
      </c>
      <c r="G7" s="10" t="inlineStr">
        <is>
          <t>Industry median is 41.6% and the bottom quarter is 28.4% (analysis of 12,400 B2B webinars, 2026). Cold paid-ad traffic shows up less, so we plan at 25%.</t>
        </is>
      </c>
    </row>
    <row r="8">
      <c r="A8" s="10" t="inlineStr">
        <is>
          <t>Stay till the end (of live attendees)</t>
        </is>
      </c>
      <c r="B8" s="24" t="n">
        <v>0.65</v>
      </c>
      <c r="G8" s="10" t="inlineStr">
        <is>
          <t>Planning estimate for a 60-min session with the live bill teardown at the end.</t>
        </is>
      </c>
    </row>
    <row r="9">
      <c r="A9" s="10" t="inlineStr">
        <is>
          <t>Book a free assessment (of those who stayed)</t>
        </is>
      </c>
      <c r="B9" s="24" t="n">
        <v>0.12</v>
      </c>
      <c r="G9" s="10" t="inlineStr">
        <is>
          <t>Planning estimate for a first webinar. Replace with real data afterwards.</t>
        </is>
      </c>
    </row>
    <row r="10">
      <c r="A10" s="10" t="inlineStr">
        <is>
          <t>GST on ad spend</t>
        </is>
      </c>
      <c r="B10" s="24" t="n">
        <v>0.18</v>
      </c>
      <c r="G10" s="10" t="inlineStr">
        <is>
          <t>18% GST on Indian invoices from Meta, LinkedIn and Google.</t>
        </is>
      </c>
    </row>
    <row r="11">
      <c r="A11" s="10" t="inlineStr">
        <is>
          <t>Test buffer (% of ad spend)</t>
        </is>
      </c>
      <c r="B11" s="24" t="n">
        <v>0.1</v>
      </c>
      <c r="G11" s="10" t="inlineStr">
        <is>
          <t>Money spent on ads that lose in test week. This is the price of learning real costs.</t>
        </is>
      </c>
    </row>
    <row r="12">
      <c r="A12" s="10" t="inlineStr">
        <is>
          <t>Webinar platform licence, 500 seats (₹)</t>
        </is>
      </c>
      <c r="B12" s="25" t="n">
        <v>15000</v>
      </c>
      <c r="G12" s="10" t="inlineStr">
        <is>
          <t>Estimate for one month of a 500-seat plan. Confirm with a quote.</t>
        </is>
      </c>
    </row>
    <row r="13">
      <c r="A13" s="10" t="inlineStr">
        <is>
          <t>Reminder tools: email + WhatsApp API (₹)</t>
        </is>
      </c>
      <c r="B13" s="25" t="n">
        <v>10000</v>
      </c>
      <c r="G13" s="10" t="inlineStr">
        <is>
          <t>Estimate for ~800 contacts × 8 reminders. Confirm with a quote.</t>
        </is>
      </c>
    </row>
    <row r="14">
      <c r="A14" s="10" t="inlineStr">
        <is>
          <t>Lucky draw for people who stay till the end (₹)</t>
        </is>
      </c>
      <c r="B14" s="25" t="n">
        <v>20000</v>
      </c>
      <c r="G14" s="10" t="inlineStr">
        <is>
          <t>10 × ₹1,000 + 2 × ₹5,000 vouchers. Optional: set to 0 to remove. Helps show-up.</t>
        </is>
      </c>
    </row>
    <row r="17">
      <c r="A17" s="3" t="inlineStr">
        <is>
          <t>B. Campaign assumptions (only Google, Meta and LinkedIn ads)</t>
        </is>
      </c>
    </row>
    <row r="18" ht="32" customHeight="1">
      <c r="A18" s="12" t="inlineStr">
        <is>
          <t>Campaign</t>
        </is>
      </c>
      <c r="B18" s="12" t="inlineStr">
        <is>
          <t>Platform</t>
        </is>
      </c>
      <c r="C18" s="12" t="inlineStr">
        <is>
          <t>Share of registrations</t>
        </is>
      </c>
      <c r="D18" s="12" t="inlineStr">
        <is>
          <t>Cost per registration (₹)</t>
        </is>
      </c>
      <c r="E18" s="12" t="inlineStr">
        <is>
          <t>Click-through rate (CTR)</t>
        </is>
      </c>
      <c r="F18" s="12" t="inlineStr">
        <is>
          <t>Form / page conversion</t>
        </is>
      </c>
      <c r="G18" s="12" t="inlineStr">
        <is>
          <t>Why this number (source / logic)</t>
        </is>
      </c>
    </row>
    <row r="19">
      <c r="A19" s="10" t="inlineStr">
        <is>
          <t>Meta: new audience (FB + Instagram)</t>
        </is>
      </c>
      <c r="B19" s="10" t="inlineStr">
        <is>
          <t>Meta</t>
        </is>
      </c>
      <c r="C19" s="24" t="n">
        <v>0.525</v>
      </c>
      <c r="D19" s="25" t="n">
        <v>250</v>
      </c>
      <c r="E19" s="24" t="n">
        <v>0.01</v>
      </c>
      <c r="F19" s="24" t="n">
        <v>0.12</v>
      </c>
      <c r="G19" s="10" t="inlineStr">
        <is>
          <t>Volume engine. Cheapest registrations but lower quality. ₹250 is a planning estimate for India B2B webinar lead forms; test week gives the real number.</t>
        </is>
      </c>
    </row>
    <row r="20">
      <c r="A20" s="10" t="inlineStr">
        <is>
          <t>Meta: retargeting (visited page / watched video)</t>
        </is>
      </c>
      <c r="B20" s="10" t="inlineStr">
        <is>
          <t>Meta</t>
        </is>
      </c>
      <c r="C20" s="24" t="n">
        <v>0.075</v>
      </c>
      <c r="D20" s="25" t="n">
        <v>200</v>
      </c>
      <c r="E20" s="24" t="n">
        <v>0.015</v>
      </c>
      <c r="F20" s="24" t="n">
        <v>0.2</v>
      </c>
      <c r="G20" s="10" t="inlineStr">
        <is>
          <t>People who already showed interest. Small but cheap. Planning estimate.</t>
        </is>
      </c>
    </row>
    <row r="21">
      <c r="A21" s="10" t="inlineStr">
        <is>
          <t>LinkedIn: job-title targeting (Lead Gen Form)</t>
        </is>
      </c>
      <c r="B21" s="10" t="inlineStr">
        <is>
          <t>LinkedIn</t>
        </is>
      </c>
      <c r="C21" s="24" t="n">
        <v>0.2</v>
      </c>
      <c r="D21" s="25" t="n">
        <v>1300</v>
      </c>
      <c r="E21" s="24" t="n">
        <v>0.006</v>
      </c>
      <c r="F21" s="24" t="n">
        <v>0.12</v>
      </c>
      <c r="G21" s="10" t="inlineStr">
        <is>
          <t>Quality engine: right job titles. LinkedIn India cost per lead is ₹850–₹2,500 (2026 benchmark); we plan mid-range.</t>
        </is>
      </c>
    </row>
    <row r="22">
      <c r="A22" s="10" t="inlineStr">
        <is>
          <t>Google: Search (people searching the topic)</t>
        </is>
      </c>
      <c r="B22" s="10" t="inlineStr">
        <is>
          <t>Google</t>
        </is>
      </c>
      <c r="C22" s="24" t="n">
        <v>0.1</v>
      </c>
      <c r="D22" s="25" t="n">
        <v>800</v>
      </c>
      <c r="E22" s="24" t="n">
        <v>0.04</v>
      </c>
      <c r="F22" s="24" t="n">
        <v>0.15</v>
      </c>
      <c r="G22" s="10" t="inlineStr">
        <is>
          <t>High intent but limited search volume in India for these keywords. Planning estimate.</t>
        </is>
      </c>
    </row>
    <row r="23">
      <c r="A23" s="10" t="inlineStr">
        <is>
          <t>Google: YouTube video ads</t>
        </is>
      </c>
      <c r="B23" s="10" t="inlineStr">
        <is>
          <t>Google</t>
        </is>
      </c>
      <c r="C23" s="24" t="n">
        <v>0.1</v>
      </c>
      <c r="D23" s="25" t="n">
        <v>500</v>
      </c>
      <c r="E23" s="24" t="n">
        <v>0.008</v>
      </c>
      <c r="F23" s="24" t="n">
        <v>0.1</v>
      </c>
      <c r="G23" s="10" t="inlineStr">
        <is>
          <t>CTO video shown to people searching cloud cost / AWS topics. Planning estimate.</t>
        </is>
      </c>
    </row>
    <row r="24">
      <c r="A24" s="17" t="inlineStr">
        <is>
          <t>Total (must be 100%)</t>
        </is>
      </c>
      <c r="B24" s="21" t="inlineStr"/>
      <c r="C24" s="20">
        <f>SUM(C19:C23)</f>
        <v>1.0</v>
      </c>
      <c r="D24" s="17" t="str">
        <f>IF(ROUND(C24,4)=1,"OK","Fix: shares must add to 100%")</f>
        <v>OK</v>
      </c>
      <c r="E24" s="21" t="inlineStr"/>
      <c r="F24" s="21" t="inlineStr"/>
      <c r="G24" s="21" t="inlineStr"/>
    </row>
    <row r="27">
      <c r="A27" s="3" t="inlineStr">
        <is>
          <t>C. How ad money is spread over the 5 ad weeks</t>
        </is>
      </c>
    </row>
    <row r="28" ht="32" customHeight="1">
      <c r="A28" s="12" t="inlineStr">
        <is>
          <t>Week</t>
        </is>
      </c>
      <c r="B28" s="12" t="inlineStr">
        <is>
          <t>What happens</t>
        </is>
      </c>
      <c r="C28" s="12" t="inlineStr">
        <is>
          <t>% of ad spend</t>
        </is>
      </c>
      <c r="D28" s="12" t="inlineStr"/>
      <c r="E28" s="12" t="inlineStr"/>
      <c r="F28" s="12" t="inlineStr"/>
      <c r="G28" s="12" t="inlineStr">
        <is>
          <t>Why</t>
        </is>
      </c>
    </row>
    <row r="29">
      <c r="A29" s="10" t="inlineStr">
        <is>
          <t>Week 1</t>
        </is>
      </c>
      <c r="B29" s="10" t="inlineStr">
        <is>
          <t>TEST</t>
        </is>
      </c>
      <c r="C29" s="24" t="n">
        <v>0.1</v>
      </c>
      <c r="G29" s="10" t="inlineStr">
        <is>
          <t>Small budget, many ad versions. Find which ads and audiences give the cheapest registrations.</t>
        </is>
      </c>
    </row>
    <row r="30">
      <c r="A30" s="10" t="inlineStr">
        <is>
          <t>Week 2</t>
        </is>
      </c>
      <c r="B30" s="10" t="inlineStr">
        <is>
          <t>SCALE</t>
        </is>
      </c>
      <c r="C30" s="24" t="n">
        <v>0.2</v>
      </c>
      <c r="G30" s="10" t="inlineStr">
        <is>
          <t>Move money to winners. Raise budget on winners by ~20% every 3 days.</t>
        </is>
      </c>
    </row>
    <row r="31">
      <c r="A31" s="10" t="inlineStr">
        <is>
          <t>Week 3</t>
        </is>
      </c>
      <c r="B31" s="10" t="inlineStr">
        <is>
          <t>SCALE</t>
        </is>
      </c>
      <c r="C31" s="24" t="n">
        <v>0.25</v>
      </c>
      <c r="G31" s="10" t="inlineStr">
        <is>
          <t>Full speed on winners. Retargeting now has enough visitors.</t>
        </is>
      </c>
    </row>
    <row r="32">
      <c r="A32" s="10" t="inlineStr">
        <is>
          <t>Week 4</t>
        </is>
      </c>
      <c r="B32" s="10" t="inlineStr">
        <is>
          <t>SCALE</t>
        </is>
      </c>
      <c r="C32" s="24" t="n">
        <v>0.25</v>
      </c>
      <c r="G32" s="10" t="inlineStr">
        <is>
          <t>Full speed. Fresh ad versions to avoid fatigue.</t>
        </is>
      </c>
    </row>
    <row r="33">
      <c r="A33" s="10" t="inlineStr">
        <is>
          <t>Week 5</t>
        </is>
      </c>
      <c r="B33" s="10" t="inlineStr">
        <is>
          <t>FINAL PUSH</t>
        </is>
      </c>
      <c r="C33" s="24" t="n">
        <v>0.2</v>
      </c>
      <c r="G33" s="10" t="inlineStr">
        <is>
          <t>Countdown ads. People who register in the last 10 days show up the most.</t>
        </is>
      </c>
    </row>
    <row r="34">
      <c r="A34" s="17" t="inlineStr">
        <is>
          <t>Total (must be 100%)</t>
        </is>
      </c>
      <c r="B34" s="21" t="inlineStr"/>
      <c r="C34" s="20">
        <f>SUM(C29:C33)</f>
        <v>1.0</v>
      </c>
      <c r="D34" s="17" t="str">
        <f>IF(ROUND(C34,4)=1,"OK","Fix: weeks must add to 100%")</f>
        <v>OK</v>
      </c>
      <c r="E34" s="21" t="inlineStr"/>
      <c r="F34" s="21" t="inlineStr"/>
      <c r="G34" s="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70" customWidth="1" min="4" max="4"/>
  </cols>
  <sheetData>
    <row r="1">
      <c r="A1" s="1" t="inlineStr">
        <is>
          <t>Reverse funnel: how many people we need at each step</t>
        </is>
      </c>
    </row>
    <row r="2">
      <c r="A2" s="2" t="inlineStr">
        <is>
          <t>Start from 200 live attendees and work backwards. All numbers are formulas.</t>
        </is>
      </c>
    </row>
    <row r="4" ht="32" customHeight="1">
      <c r="A4" s="12" t="inlineStr">
        <is>
          <t>Step</t>
        </is>
      </c>
      <c r="B4" s="12" t="inlineStr">
        <is>
          <t>People</t>
        </is>
      </c>
      <c r="C4" s="12" t="inlineStr">
        <is>
          <t>% moving to this step</t>
        </is>
      </c>
      <c r="D4" s="12" t="inlineStr">
        <is>
          <t>What it means</t>
        </is>
      </c>
    </row>
    <row r="5">
      <c r="A5" s="10" t="inlineStr">
        <is>
          <t>1. See the ad (impressions)</t>
        </is>
      </c>
      <c r="B5" s="14">
        <f>'Channel Plan'!G10</f>
        <v>705492.0</v>
      </c>
      <c r="C5" s="26" t="inlineStr"/>
      <c r="D5" s="10" t="inlineStr">
        <is>
          <t>Total ad views needed across Google, Meta and LinkedIn.</t>
        </is>
      </c>
    </row>
    <row r="6">
      <c r="A6" s="10" t="inlineStr">
        <is>
          <t>2. Click the ad</t>
        </is>
      </c>
      <c r="B6" s="14">
        <f>'Channel Plan'!F10</f>
        <v>6466.0</v>
      </c>
      <c r="C6" s="26">
        <f>IFERROR(B6/B5,0)</f>
        <v>0.009165235041644695</v>
      </c>
      <c r="D6" s="10" t="inlineStr">
        <is>
          <t>People who click through to the form or landing page.</t>
        </is>
      </c>
    </row>
    <row r="7">
      <c r="A7" s="10" t="inlineStr">
        <is>
          <t>3. Register</t>
        </is>
      </c>
      <c r="B7" s="27">
        <f>ROUNDUP(Inputs!B6/Inputs!B7,0)</f>
        <v>800.0</v>
      </c>
      <c r="C7" s="26">
        <f>IFERROR(B7/B6,0)</f>
        <v>0.12372409526755336</v>
      </c>
      <c r="D7" s="10" t="inlineStr">
        <is>
          <t>To get 200 live at a 25% show-up rate we need this many registrations.</t>
        </is>
      </c>
    </row>
    <row r="8">
      <c r="A8" s="4" t="inlineStr">
        <is>
          <t>4. Attend LIVE (the goal)</t>
        </is>
      </c>
      <c r="B8" s="28">
        <f>ROUND(B7*Inputs!B7,0)</f>
        <v>200.0</v>
      </c>
      <c r="C8" s="29">
        <f>IFERROR(B8/B7,0)</f>
        <v>0.25</v>
      </c>
      <c r="D8" s="30" t="inlineStr">
        <is>
          <t>This is the 200.</t>
        </is>
      </c>
    </row>
    <row r="9">
      <c r="A9" s="10" t="inlineStr">
        <is>
          <t>5. Stay till the end</t>
        </is>
      </c>
      <c r="B9" s="27">
        <f>ROUND(B8*Inputs!B8,0)</f>
        <v>130.0</v>
      </c>
      <c r="C9" s="26">
        <f>IFERROR(B9/B8,0)</f>
        <v>0.65</v>
      </c>
      <c r="D9" s="10" t="inlineStr">
        <is>
          <t>These people see the offer and the lucky draw.</t>
        </is>
      </c>
    </row>
    <row r="10">
      <c r="A10" s="10" t="inlineStr">
        <is>
          <t>6. Book a free assessment / meeting</t>
        </is>
      </c>
      <c r="B10" s="27">
        <f>ROUND(B9*Inputs!B9,0)</f>
        <v>16.0</v>
      </c>
      <c r="C10" s="26">
        <f>IFERROR(B10/B9,0)</f>
        <v>0.12307692307692308</v>
      </c>
      <c r="D10" s="10" t="inlineStr">
        <is>
          <t>Sales pipeline created by the webinar.</t>
        </is>
      </c>
    </row>
    <row r="13">
      <c r="A13" s="31" t="inlineStr">
        <is>
          <t>In one line: about 1 in 4 people who register actually attend, so 200 live needs about 800 registrations, all bought through ads.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5" customWidth="1" min="3" max="3"/>
    <col width="16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Channel plan and full budget</t>
        </is>
      </c>
    </row>
    <row r="2">
      <c r="A2" s="2" t="inlineStr">
        <is>
          <t>Registrations, ad spend, clicks and impressions per campaign. Edit assumptions on the Inputs tab.</t>
        </is>
      </c>
    </row>
    <row r="4" ht="32" customHeight="1">
      <c r="A4" s="12" t="inlineStr">
        <is>
          <t>Campaign</t>
        </is>
      </c>
      <c r="B4" s="12" t="inlineStr">
        <is>
          <t>Platform</t>
        </is>
      </c>
      <c r="C4" s="12" t="inlineStr">
        <is>
          <t>Registrations</t>
        </is>
      </c>
      <c r="D4" s="12" t="inlineStr">
        <is>
          <t>Cost per registration (₹)</t>
        </is>
      </c>
      <c r="E4" s="12" t="inlineStr">
        <is>
          <t>Ad spend (₹)</t>
        </is>
      </c>
      <c r="F4" s="12" t="inlineStr">
        <is>
          <t>Clicks needed</t>
        </is>
      </c>
      <c r="G4" s="12" t="inlineStr">
        <is>
          <t>Impressions needed</t>
        </is>
      </c>
      <c r="H4" s="12" t="inlineStr">
        <is>
          <t>% of ad spend</t>
        </is>
      </c>
    </row>
    <row r="5">
      <c r="A5" s="32" t="str">
        <f>Inputs!A19</f>
        <v>Meta: new audience (FB + Instagram)</v>
      </c>
      <c r="B5" s="32" t="str">
        <f>Inputs!B19</f>
        <v>Meta</v>
      </c>
      <c r="C5" s="27">
        <f>ROUND(Inputs!C19*Funnel!$B$7,0)</f>
        <v>420.0</v>
      </c>
      <c r="D5" s="15">
        <f>Inputs!D19</f>
        <v>250.0</v>
      </c>
      <c r="E5" s="33">
        <f>C5*D5</f>
        <v>105000.0</v>
      </c>
      <c r="F5" s="27">
        <f>IFERROR(ROUND(C5/Inputs!F19,0),0)</f>
        <v>3500.0</v>
      </c>
      <c r="G5" s="27">
        <f>IFERROR(ROUND(F5/Inputs!E19,0),0)</f>
        <v>350000.0</v>
      </c>
      <c r="H5" s="26">
        <f>IFERROR(E5/$E$10,0)</f>
        <v>0.24475524475524477</v>
      </c>
    </row>
    <row r="6">
      <c r="A6" s="32" t="str">
        <f>Inputs!A20</f>
        <v>Meta: retargeting (visited page / watched video)</v>
      </c>
      <c r="B6" s="32" t="str">
        <f>Inputs!B20</f>
        <v>Meta</v>
      </c>
      <c r="C6" s="27">
        <f>ROUND(Inputs!C20*Funnel!$B$7,0)</f>
        <v>60.0</v>
      </c>
      <c r="D6" s="15">
        <f>Inputs!D20</f>
        <v>200.0</v>
      </c>
      <c r="E6" s="33">
        <f>C6*D6</f>
        <v>12000.0</v>
      </c>
      <c r="F6" s="27">
        <f>IFERROR(ROUND(C6/Inputs!F20,0),0)</f>
        <v>300.0</v>
      </c>
      <c r="G6" s="27">
        <f>IFERROR(ROUND(F6/Inputs!E20,0),0)</f>
        <v>20000.0</v>
      </c>
      <c r="H6" s="26">
        <f>IFERROR(E6/$E$10,0)</f>
        <v>0.027972027972027972</v>
      </c>
    </row>
    <row r="7">
      <c r="A7" s="32" t="str">
        <f>Inputs!A21</f>
        <v>LinkedIn: job-title targeting (Lead Gen Form)</v>
      </c>
      <c r="B7" s="32" t="str">
        <f>Inputs!B21</f>
        <v>LinkedIn</v>
      </c>
      <c r="C7" s="27">
        <f>ROUND(Inputs!C21*Funnel!$B$7,0)</f>
        <v>160.0</v>
      </c>
      <c r="D7" s="15">
        <f>Inputs!D21</f>
        <v>1300.0</v>
      </c>
      <c r="E7" s="33">
        <f>C7*D7</f>
        <v>208000.0</v>
      </c>
      <c r="F7" s="27">
        <f>IFERROR(ROUND(C7/Inputs!F21,0),0)</f>
        <v>1333.0</v>
      </c>
      <c r="G7" s="27">
        <f>IFERROR(ROUND(F7/Inputs!E21,0),0)</f>
        <v>222167.0</v>
      </c>
      <c r="H7" s="26">
        <f>IFERROR(E7/$E$10,0)</f>
        <v>0.48484848484848486</v>
      </c>
    </row>
    <row r="8">
      <c r="A8" s="32" t="str">
        <f>Inputs!A22</f>
        <v>Google: Search (people searching the topic)</v>
      </c>
      <c r="B8" s="32" t="str">
        <f>Inputs!B22</f>
        <v>Google</v>
      </c>
      <c r="C8" s="27">
        <f>ROUND(Inputs!C22*Funnel!$B$7,0)</f>
        <v>80.0</v>
      </c>
      <c r="D8" s="15">
        <f>Inputs!D22</f>
        <v>800.0</v>
      </c>
      <c r="E8" s="33">
        <f>C8*D8</f>
        <v>64000.0</v>
      </c>
      <c r="F8" s="27">
        <f>IFERROR(ROUND(C8/Inputs!F22,0),0)</f>
        <v>533.0</v>
      </c>
      <c r="G8" s="27">
        <f>IFERROR(ROUND(F8/Inputs!E22,0),0)</f>
        <v>13325.0</v>
      </c>
      <c r="H8" s="26">
        <f>IFERROR(E8/$E$10,0)</f>
        <v>0.14918414918414918</v>
      </c>
    </row>
    <row r="9">
      <c r="A9" s="32" t="str">
        <f>Inputs!A23</f>
        <v>Google: YouTube video ads</v>
      </c>
      <c r="B9" s="32" t="str">
        <f>Inputs!B23</f>
        <v>Google</v>
      </c>
      <c r="C9" s="27">
        <f>ROUND(Inputs!C23*Funnel!$B$7,0)</f>
        <v>80.0</v>
      </c>
      <c r="D9" s="15">
        <f>Inputs!D23</f>
        <v>500.0</v>
      </c>
      <c r="E9" s="33">
        <f>C9*D9</f>
        <v>40000.0</v>
      </c>
      <c r="F9" s="27">
        <f>IFERROR(ROUND(C9/Inputs!F23,0),0)</f>
        <v>800.0</v>
      </c>
      <c r="G9" s="27">
        <f>IFERROR(ROUND(F9/Inputs!E23,0),0)</f>
        <v>100000.0</v>
      </c>
      <c r="H9" s="26">
        <f>IFERROR(E9/$E$10,0)</f>
        <v>0.09324009324009325</v>
      </c>
    </row>
    <row r="10">
      <c r="A10" s="17" t="inlineStr">
        <is>
          <t>Total</t>
        </is>
      </c>
      <c r="B10" s="21" t="inlineStr"/>
      <c r="C10" s="18">
        <f>SUM(C5:C9)</f>
        <v>800.0</v>
      </c>
      <c r="D10" s="19">
        <f>IFERROR(E10/C10,0)</f>
        <v>536.25</v>
      </c>
      <c r="E10" s="19">
        <f>SUM(E5:E9)</f>
        <v>429000.0</v>
      </c>
      <c r="F10" s="18">
        <f>SUM(F5:F9)</f>
        <v>6466.0</v>
      </c>
      <c r="G10" s="18">
        <f>SUM(G5:G9)</f>
        <v>705492.0</v>
      </c>
      <c r="H10" s="20">
        <f>SUM(H5:H9)</f>
        <v>1.0</v>
      </c>
    </row>
    <row r="11">
      <c r="A11" s="2" t="inlineStr">
        <is>
          <t>Cost per registration in the Total row is the blended average across all campaigns.</t>
        </is>
      </c>
    </row>
    <row r="13">
      <c r="A13" s="3" t="inlineStr">
        <is>
          <t>Full budget (everything included)</t>
        </is>
      </c>
    </row>
    <row r="14" ht="32" customHeight="1">
      <c r="A14" s="12" t="inlineStr">
        <is>
          <t>Item</t>
        </is>
      </c>
      <c r="B14" s="12" t="inlineStr"/>
      <c r="C14" s="12" t="inlineStr"/>
      <c r="D14" s="12" t="inlineStr"/>
      <c r="E14" s="12" t="inlineStr">
        <is>
          <t>Amount (₹)</t>
        </is>
      </c>
      <c r="F14" s="12" t="inlineStr"/>
      <c r="G14" s="12" t="inlineStr"/>
      <c r="H14" s="12" t="inlineStr">
        <is>
          <t>% of total</t>
        </is>
      </c>
    </row>
    <row r="15">
      <c r="A15" s="10" t="inlineStr">
        <is>
          <t>Ad spend: Google + Meta + LinkedIn</t>
        </is>
      </c>
      <c r="B15" s="6" t="n"/>
      <c r="C15" s="6" t="n"/>
      <c r="D15" s="7" t="n"/>
      <c r="E15" s="33">
        <f>E10</f>
        <v>429000.0</v>
      </c>
      <c r="H15" s="26">
        <f>IFERROR(E15/$E$21,0)</f>
        <v>0.7220763482124823</v>
      </c>
    </row>
    <row r="16">
      <c r="A16" s="10" t="inlineStr">
        <is>
          <t>GST on ad spend</t>
        </is>
      </c>
      <c r="B16" s="6" t="n"/>
      <c r="C16" s="6" t="n"/>
      <c r="D16" s="7" t="n"/>
      <c r="E16" s="15">
        <f>E10*Inputs!B10</f>
        <v>77220.0</v>
      </c>
      <c r="H16" s="26">
        <f>IFERROR(E16/$E$21,0)</f>
        <v>0.12997374267824682</v>
      </c>
    </row>
    <row r="17">
      <c r="A17" s="10" t="inlineStr">
        <is>
          <t>Test buffer (ads that lose in week 1)</t>
        </is>
      </c>
      <c r="B17" s="6" t="n"/>
      <c r="C17" s="6" t="n"/>
      <c r="D17" s="7" t="n"/>
      <c r="E17" s="15">
        <f>E10*Inputs!B11</f>
        <v>42900.0</v>
      </c>
      <c r="H17" s="26">
        <f>IFERROR(E17/$E$21,0)</f>
        <v>0.07220763482124823</v>
      </c>
    </row>
    <row r="18">
      <c r="A18" s="10" t="inlineStr">
        <is>
          <t>Webinar platform licence</t>
        </is>
      </c>
      <c r="B18" s="6" t="n"/>
      <c r="C18" s="6" t="n"/>
      <c r="D18" s="7" t="n"/>
      <c r="E18" s="15">
        <f>Inputs!B12</f>
        <v>15000.0</v>
      </c>
      <c r="H18" s="26">
        <f>IFERROR(E18/$E$21,0)</f>
        <v>0.025247424762674206</v>
      </c>
    </row>
    <row r="19">
      <c r="A19" s="10" t="inlineStr">
        <is>
          <t>Reminder tools (email + WhatsApp)</t>
        </is>
      </c>
      <c r="B19" s="6" t="n"/>
      <c r="C19" s="6" t="n"/>
      <c r="D19" s="7" t="n"/>
      <c r="E19" s="15">
        <f>Inputs!B13</f>
        <v>10000.0</v>
      </c>
      <c r="H19" s="26">
        <f>IFERROR(E19/$E$21,0)</f>
        <v>0.01683161650844947</v>
      </c>
    </row>
    <row r="20">
      <c r="A20" s="10" t="inlineStr">
        <is>
          <t>Lucky draw (optional)</t>
        </is>
      </c>
      <c r="B20" s="6" t="n"/>
      <c r="C20" s="6" t="n"/>
      <c r="D20" s="7" t="n"/>
      <c r="E20" s="15">
        <f>Inputs!B14</f>
        <v>20000.0</v>
      </c>
      <c r="H20" s="26">
        <f>IFERROR(E20/$E$21,0)</f>
        <v>0.03366323301689894</v>
      </c>
    </row>
    <row r="21">
      <c r="A21" s="17" t="inlineStr">
        <is>
          <t>TOTAL BUDGET (all-in)</t>
        </is>
      </c>
      <c r="B21" s="6" t="n"/>
      <c r="C21" s="6" t="n"/>
      <c r="D21" s="7" t="n"/>
      <c r="E21" s="19">
        <f>SUM(E15:E20)</f>
        <v>594120.0</v>
      </c>
      <c r="H21" s="20">
        <f>SUM(H15:H20)</f>
        <v>1.0</v>
      </c>
    </row>
    <row r="22">
      <c r="A22" s="13" t="inlineStr">
        <is>
          <t>Cost per LIVE attendee (all-in)</t>
        </is>
      </c>
      <c r="B22" s="6" t="n"/>
      <c r="C22" s="6" t="n"/>
      <c r="D22" s="7" t="n"/>
      <c r="E22" s="34">
        <f>IFERROR(E21/Funnel!B8,0)</f>
        <v>2970.6</v>
      </c>
    </row>
    <row r="23">
      <c r="A23" s="13" t="inlineStr">
        <is>
          <t>Cost per registration (all-in)</t>
        </is>
      </c>
      <c r="B23" s="6" t="n"/>
      <c r="C23" s="6" t="n"/>
      <c r="D23" s="7" t="n"/>
      <c r="E23" s="34">
        <f>IFERROR(E21/C10,0)</f>
        <v>742.65</v>
      </c>
    </row>
    <row r="26">
      <c r="A26" s="3" t="inlineStr">
        <is>
          <t>By platform</t>
        </is>
      </c>
    </row>
    <row r="27" ht="32" customHeight="1">
      <c r="A27" s="12" t="inlineStr">
        <is>
          <t>Platform</t>
        </is>
      </c>
      <c r="B27" s="12" t="inlineStr"/>
      <c r="C27" s="12" t="inlineStr">
        <is>
          <t>Registrations</t>
        </is>
      </c>
      <c r="D27" s="12" t="inlineStr">
        <is>
          <t>Cost per registration (₹)</t>
        </is>
      </c>
      <c r="E27" s="12" t="inlineStr">
        <is>
          <t>Ad spend (₹)</t>
        </is>
      </c>
      <c r="F27" s="12" t="inlineStr"/>
      <c r="G27" s="12" t="inlineStr"/>
      <c r="H27" s="12" t="inlineStr">
        <is>
          <t>% of ad spend</t>
        </is>
      </c>
    </row>
    <row r="28">
      <c r="A28" s="13" t="inlineStr">
        <is>
          <t>Meta</t>
        </is>
      </c>
      <c r="B28" s="10" t="inlineStr"/>
      <c r="C28" s="27">
        <f>SUMIF($B$5:$B$9,A28,$C$5:$C$9)</f>
        <v>480.0</v>
      </c>
      <c r="D28" s="33">
        <f>IFERROR(E28/C28,0)</f>
        <v>243.75</v>
      </c>
      <c r="E28" s="33">
        <f>SUMIF($B$5:$B$9,A28,$E$5:$E$9)</f>
        <v>117000.0</v>
      </c>
      <c r="H28" s="26">
        <f>IFERROR(E28/$E$10,0)</f>
        <v>0.2727272727272727</v>
      </c>
    </row>
    <row r="29">
      <c r="A29" s="13" t="inlineStr">
        <is>
          <t>LinkedIn</t>
        </is>
      </c>
      <c r="B29" s="10" t="inlineStr"/>
      <c r="C29" s="27">
        <f>SUMIF($B$5:$B$9,A29,$C$5:$C$9)</f>
        <v>160.0</v>
      </c>
      <c r="D29" s="33">
        <f>IFERROR(E29/C29,0)</f>
        <v>1300.0</v>
      </c>
      <c r="E29" s="33">
        <f>SUMIF($B$5:$B$9,A29,$E$5:$E$9)</f>
        <v>208000.0</v>
      </c>
      <c r="H29" s="26">
        <f>IFERROR(E29/$E$10,0)</f>
        <v>0.48484848484848486</v>
      </c>
    </row>
    <row r="30">
      <c r="A30" s="13" t="inlineStr">
        <is>
          <t>Google</t>
        </is>
      </c>
      <c r="B30" s="10" t="inlineStr"/>
      <c r="C30" s="27">
        <f>SUMIF($B$5:$B$9,A30,$C$5:$C$9)</f>
        <v>160.0</v>
      </c>
      <c r="D30" s="33">
        <f>IFERROR(E30/C30,0)</f>
        <v>650.0</v>
      </c>
      <c r="E30" s="33">
        <f>SUMIF($B$5:$B$9,A30,$E$5:$E$9)</f>
        <v>104000.0</v>
      </c>
      <c r="H30" s="26">
        <f>IFERROR(E30/$E$10,0)</f>
        <v>0.24242424242424243</v>
      </c>
    </row>
    <row r="31">
      <c r="A31" s="17" t="inlineStr">
        <is>
          <t>Total</t>
        </is>
      </c>
      <c r="B31" s="21" t="inlineStr"/>
      <c r="C31" s="18">
        <f>SUM(C28:C30)</f>
        <v>800.0</v>
      </c>
      <c r="D31" s="19">
        <f>IFERROR(E31/C31,0)</f>
        <v>536.25</v>
      </c>
      <c r="E31" s="19">
        <f>SUM(E28:E30)</f>
        <v>429000.0</v>
      </c>
      <c r="F31" s="21" t="inlineStr"/>
      <c r="G31" s="21" t="inlineStr"/>
      <c r="H31" s="20">
        <f>SUM(H28:H30)</f>
        <v>1.0</v>
      </c>
    </row>
  </sheetData>
  <mergeCells count="9">
    <mergeCell ref="A17:D17"/>
    <mergeCell ref="A18:D18"/>
    <mergeCell ref="A23:D23"/>
    <mergeCell ref="A22:D22"/>
    <mergeCell ref="A20:D20"/>
    <mergeCell ref="A21:D21"/>
    <mergeCell ref="A15:D15"/>
    <mergeCell ref="A19:D19"/>
    <mergeCell ref="A16:D16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6" customWidth="1" min="9" max="9"/>
    <col width="16" customWidth="1" min="10" max="10"/>
    <col width="46" customWidth="1" min="11" max="11"/>
  </cols>
  <sheetData>
    <row r="1">
      <c r="A1" s="1" t="inlineStr">
        <is>
          <t>Week-by-week plan: money, registrations and checkpoints</t>
        </is>
      </c>
    </row>
    <row r="2">
      <c r="A2" s="2" t="inlineStr">
        <is>
          <t>Ads run 5 weeks. Week 0 is setup, Week 6 is follow-up. Weekly % split is on the Inputs tab.</t>
        </is>
      </c>
    </row>
    <row r="4" ht="32" customHeight="1">
      <c r="A4" s="12" t="inlineStr">
        <is>
          <t>Week</t>
        </is>
      </c>
      <c r="B4" s="12" t="inlineStr">
        <is>
          <t>Stage</t>
        </is>
      </c>
      <c r="C4" s="12" t="inlineStr">
        <is>
          <t>Meta (₹)</t>
        </is>
      </c>
      <c r="D4" s="12" t="inlineStr">
        <is>
          <t>LinkedIn (₹)</t>
        </is>
      </c>
      <c r="E4" s="12" t="inlineStr">
        <is>
          <t>Google (₹)</t>
        </is>
      </c>
      <c r="F4" s="12" t="inlineStr">
        <is>
          <t>Total ad spend (₹)</t>
        </is>
      </c>
      <c r="G4" s="12" t="inlineStr">
        <is>
          <t>Daily spend (₹)</t>
        </is>
      </c>
      <c r="H4" s="12" t="inlineStr">
        <is>
          <t>New registrations (target)</t>
        </is>
      </c>
      <c r="I4" s="12" t="inlineStr">
        <is>
          <t>Total registrations so far</t>
        </is>
      </c>
      <c r="J4" s="12" t="inlineStr">
        <is>
          <t>% of goal reached</t>
        </is>
      </c>
      <c r="K4" s="12" t="inlineStr">
        <is>
          <t>Main jobs this week</t>
        </is>
      </c>
    </row>
    <row r="5">
      <c r="A5" s="10" t="inlineStr">
        <is>
          <t>Week 0</t>
        </is>
      </c>
      <c r="B5" s="10" t="inlineStr">
        <is>
          <t>SETUP</t>
        </is>
      </c>
      <c r="C5" s="33" t="n">
        <v>0</v>
      </c>
      <c r="D5" s="33" t="n">
        <v>0</v>
      </c>
      <c r="E5" s="33" t="n">
        <v>0</v>
      </c>
      <c r="F5" s="33" t="n">
        <v>0</v>
      </c>
      <c r="G5" s="33" t="n">
        <v>0</v>
      </c>
      <c r="H5" s="27" t="n">
        <v>0</v>
      </c>
      <c r="I5" s="27" t="n">
        <v>0</v>
      </c>
      <c r="J5" s="26" t="n">
        <v>0</v>
      </c>
      <c r="K5" s="10" t="inlineStr">
        <is>
          <t>Lock title and date. Build landing page. Install Meta pixel, LinkedIn Insight Tag, Google tag + UTMs. Shoot CEO/CTO videos. Make 10–12 ads. Book webinar platform.</t>
        </is>
      </c>
    </row>
    <row r="6">
      <c r="A6" s="32" t="str">
        <f>Inputs!A29</f>
        <v>Week 1</v>
      </c>
      <c r="B6" s="32" t="str">
        <f>Inputs!B29</f>
        <v>TEST</v>
      </c>
      <c r="C6" s="15">
        <f>'Channel Plan'!$E$28*Inputs!$C29</f>
        <v>11700.0</v>
      </c>
      <c r="D6" s="15">
        <f>'Channel Plan'!$E$29*Inputs!$C29</f>
        <v>20800.0</v>
      </c>
      <c r="E6" s="15">
        <f>'Channel Plan'!$E$30*Inputs!$C29</f>
        <v>10400.0</v>
      </c>
      <c r="F6" s="33">
        <f>SUM(C6:E6)</f>
        <v>42900.0</v>
      </c>
      <c r="G6" s="33">
        <f>F6/7</f>
        <v>6128.571428571428</v>
      </c>
      <c r="H6" s="27">
        <f>ROUND('Channel Plan'!$C$10*Inputs!$C29,0)</f>
        <v>80.0</v>
      </c>
      <c r="I6" s="27">
        <f>SUM($H$6:H6)</f>
        <v>80.0</v>
      </c>
      <c r="J6" s="26">
        <f>IFERROR(I6/'Channel Plan'!$C$10,0)</f>
        <v>0.1</v>
      </c>
      <c r="K6" s="10" t="inlineStr">
        <is>
          <t>Run 3 hooks × 3 audiences on Meta, 2 × 2 on LinkedIn, 2 ad groups on Google. Check cost per registration daily.</t>
        </is>
      </c>
    </row>
    <row r="7">
      <c r="A7" s="32" t="str">
        <f>Inputs!A30</f>
        <v>Week 2</v>
      </c>
      <c r="B7" s="32" t="str">
        <f>Inputs!B30</f>
        <v>SCALE</v>
      </c>
      <c r="C7" s="15">
        <f>'Channel Plan'!$E$28*Inputs!$C30</f>
        <v>23400.0</v>
      </c>
      <c r="D7" s="15">
        <f>'Channel Plan'!$E$29*Inputs!$C30</f>
        <v>41600.0</v>
      </c>
      <c r="E7" s="15">
        <f>'Channel Plan'!$E$30*Inputs!$C30</f>
        <v>20800.0</v>
      </c>
      <c r="F7" s="33">
        <f>SUM(C7:E7)</f>
        <v>85800.0</v>
      </c>
      <c r="G7" s="33">
        <f>F7/7</f>
        <v>12257.142857142857</v>
      </c>
      <c r="H7" s="27">
        <f>ROUND('Channel Plan'!$C$10*Inputs!$C30,0)</f>
        <v>160.0</v>
      </c>
      <c r="I7" s="27">
        <f>SUM($H$6:H7)</f>
        <v>240.0</v>
      </c>
      <c r="J7" s="26">
        <f>IFERROR(I7/'Channel Plan'!$C$10,0)</f>
        <v>0.3</v>
      </c>
      <c r="K7" s="10" t="inlineStr">
        <is>
          <t>Switch off losing ads. Put money on winners. Turn on retargeting.</t>
        </is>
      </c>
    </row>
    <row r="8">
      <c r="A8" s="32" t="str">
        <f>Inputs!A31</f>
        <v>Week 3</v>
      </c>
      <c r="B8" s="32" t="str">
        <f>Inputs!B31</f>
        <v>SCALE</v>
      </c>
      <c r="C8" s="15">
        <f>'Channel Plan'!$E$28*Inputs!$C31</f>
        <v>29250.0</v>
      </c>
      <c r="D8" s="15">
        <f>'Channel Plan'!$E$29*Inputs!$C31</f>
        <v>52000.0</v>
      </c>
      <c r="E8" s="15">
        <f>'Channel Plan'!$E$30*Inputs!$C31</f>
        <v>26000.0</v>
      </c>
      <c r="F8" s="33">
        <f>SUM(C8:E8)</f>
        <v>107250.0</v>
      </c>
      <c r="G8" s="33">
        <f>F8/7</f>
        <v>15321.42857142857</v>
      </c>
      <c r="H8" s="27">
        <f>ROUND('Channel Plan'!$C$10*Inputs!$C31,0)</f>
        <v>200.0</v>
      </c>
      <c r="I8" s="27">
        <f>SUM($H$6:H8)</f>
        <v>440.0</v>
      </c>
      <c r="J8" s="26">
        <f>IFERROR(I8/'Channel Plan'!$C$10,0)</f>
        <v>0.55</v>
      </c>
      <c r="K8" s="10" t="inlineStr">
        <is>
          <t>Scale winners. Add 2 new ad versions. Monday update to CEO.</t>
        </is>
      </c>
    </row>
    <row r="9">
      <c r="A9" s="32" t="str">
        <f>Inputs!A32</f>
        <v>Week 4</v>
      </c>
      <c r="B9" s="32" t="str">
        <f>Inputs!B32</f>
        <v>SCALE</v>
      </c>
      <c r="C9" s="15">
        <f>'Channel Plan'!$E$28*Inputs!$C32</f>
        <v>29250.0</v>
      </c>
      <c r="D9" s="15">
        <f>'Channel Plan'!$E$29*Inputs!$C32</f>
        <v>52000.0</v>
      </c>
      <c r="E9" s="15">
        <f>'Channel Plan'!$E$30*Inputs!$C32</f>
        <v>26000.0</v>
      </c>
      <c r="F9" s="33">
        <f>SUM(C9:E9)</f>
        <v>107250.0</v>
      </c>
      <c r="G9" s="33">
        <f>F9/7</f>
        <v>15321.42857142857</v>
      </c>
      <c r="H9" s="27">
        <f>ROUND('Channel Plan'!$C$10*Inputs!$C32,0)</f>
        <v>200.0</v>
      </c>
      <c r="I9" s="27">
        <f>SUM($H$6:H9)</f>
        <v>640.0</v>
      </c>
      <c r="J9" s="26">
        <f>IFERROR(I9/'Channel Plan'!$C$10,0)</f>
        <v>0.8</v>
      </c>
      <c r="K9" s="10" t="inlineStr">
        <is>
          <t>Scale winners. Refresh tired ads (CTR falling). Monday update to CEO.</t>
        </is>
      </c>
    </row>
    <row r="10">
      <c r="A10" s="32" t="str">
        <f>Inputs!A33</f>
        <v>Week 5</v>
      </c>
      <c r="B10" s="32" t="str">
        <f>Inputs!B33</f>
        <v>FINAL PUSH</v>
      </c>
      <c r="C10" s="15">
        <f>'Channel Plan'!$E$28*Inputs!$C33</f>
        <v>23400.0</v>
      </c>
      <c r="D10" s="15">
        <f>'Channel Plan'!$E$29*Inputs!$C33</f>
        <v>41600.0</v>
      </c>
      <c r="E10" s="15">
        <f>'Channel Plan'!$E$30*Inputs!$C33</f>
        <v>20800.0</v>
      </c>
      <c r="F10" s="33">
        <f>SUM(C10:E10)</f>
        <v>85800.0</v>
      </c>
      <c r="G10" s="33">
        <f>F10/7</f>
        <v>12257.142857142857</v>
      </c>
      <c r="H10" s="27">
        <f>ROUND('Channel Plan'!$C$10*Inputs!$C33,0)</f>
        <v>160.0</v>
      </c>
      <c r="I10" s="27">
        <f>SUM($H$6:H10)</f>
        <v>800.0</v>
      </c>
      <c r="J10" s="26">
        <f>IFERROR(I10/'Channel Plan'!$C$10,0)</f>
        <v>1.0</v>
      </c>
      <c r="K10" s="10" t="inlineStr">
        <is>
          <t>Countdown ads (7 days / tomorrow / today). Reminder sequence running. Platform test call.</t>
        </is>
      </c>
    </row>
    <row r="11">
      <c r="A11" s="4" t="inlineStr">
        <is>
          <t>LIVE DAY</t>
        </is>
      </c>
      <c r="B11" s="4" t="inlineStr">
        <is>
          <t>WEBINAR</t>
        </is>
      </c>
      <c r="C11" s="30" t="inlineStr"/>
      <c r="D11" s="30" t="inlineStr"/>
      <c r="E11" s="30" t="inlineStr"/>
      <c r="F11" s="30" t="inlineStr"/>
      <c r="G11" s="30" t="inlineStr"/>
      <c r="H11" s="30" t="inlineStr"/>
      <c r="I11" s="35">
        <f>Funnel!B8</f>
        <v>200.0</v>
      </c>
      <c r="J11" s="30" t="inlineStr"/>
      <c r="K11" s="4" t="inlineStr">
        <is>
          <t>Tue/Wed/Thu, 4–5 pm IST. 60 minutes. Backup host ready.</t>
        </is>
      </c>
    </row>
    <row r="12">
      <c r="A12" s="10" t="inlineStr">
        <is>
          <t>Week 6</t>
        </is>
      </c>
      <c r="B12" s="10" t="inlineStr">
        <is>
          <t>FOLLOW-UP</t>
        </is>
      </c>
      <c r="C12" s="33" t="n">
        <v>0</v>
      </c>
      <c r="D12" s="33" t="n">
        <v>0</v>
      </c>
      <c r="E12" s="33" t="n">
        <v>0</v>
      </c>
      <c r="F12" s="33" t="n">
        <v>0</v>
      </c>
      <c r="G12" s="33" t="n">
        <v>0</v>
      </c>
      <c r="H12" s="27" t="n">
        <v>0</v>
      </c>
      <c r="I12" s="27" t="n">
        <v>0</v>
      </c>
      <c r="J12" s="26" t="n">
        <v>0</v>
      </c>
      <c r="K12" s="10" t="inlineStr">
        <is>
          <t>Same evening: assessment booking email. Recording to no-shows. Sales calls within 72 hours. Results review in 5 days.</t>
        </is>
      </c>
    </row>
    <row r="13">
      <c r="A13" s="17" t="inlineStr">
        <is>
          <t>Total</t>
        </is>
      </c>
      <c r="B13" s="21" t="inlineStr"/>
      <c r="C13" s="19">
        <f>SUM(C6:C10)</f>
        <v>117000.0</v>
      </c>
      <c r="D13" s="19">
        <f>SUM(D6:D10)</f>
        <v>208000.0</v>
      </c>
      <c r="E13" s="19">
        <f>SUM(E6:E10)</f>
        <v>104000.0</v>
      </c>
      <c r="F13" s="19">
        <f>SUM(F6:F10)</f>
        <v>429000.0</v>
      </c>
      <c r="G13" s="21" t="inlineStr"/>
      <c r="H13" s="18">
        <f>SUM(H6:H10)</f>
        <v>800.0</v>
      </c>
      <c r="I13" s="21" t="inlineStr"/>
      <c r="J13" s="21" t="inlineStr"/>
      <c r="K13" s="21" t="inlineStr"/>
    </row>
    <row r="15">
      <c r="A15" s="31" t="inlineStr">
        <is>
          <t>Checkpoint rule: if 'Total registrations so far' is more than 20% behind target at the end of any week, use the test buffer to add budget to the best campaign and refresh ads.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4" customWidth="1" min="3" max="3"/>
    <col width="44" customWidth="1" min="4" max="4"/>
    <col width="34" customWidth="1" min="5" max="5"/>
  </cols>
  <sheetData>
    <row r="1">
      <c r="A1" s="1" t="inlineStr">
        <is>
          <t>Who we target and what ads we run</t>
        </is>
      </c>
    </row>
    <row r="2">
      <c r="A2" s="2" t="inlineStr">
        <is>
          <t>One row per campaign. Copy this into the ad accounts at setup.</t>
        </is>
      </c>
    </row>
    <row r="4" ht="32" customHeight="1">
      <c r="A4" s="12" t="inlineStr">
        <is>
          <t>Campaign</t>
        </is>
      </c>
      <c r="B4" s="12" t="inlineStr">
        <is>
          <t>Who sees the ad (targeting)</t>
        </is>
      </c>
      <c r="C4" s="12" t="inlineStr">
        <is>
          <t>Ad format</t>
        </is>
      </c>
      <c r="D4" s="12" t="inlineStr">
        <is>
          <t>Ad message / hook</t>
        </is>
      </c>
      <c r="E4" s="12" t="inlineStr">
        <is>
          <t>Where the click goes</t>
        </is>
      </c>
    </row>
    <row r="5" ht="90" customHeight="1">
      <c r="A5" s="13" t="inlineStr">
        <is>
          <t>Meta: new audience (FB + Instagram)</t>
        </is>
      </c>
      <c r="B5" s="10" t="inlineStr">
        <is>
          <t>India metros (Bengaluru, Mumbai, Delhi NCR, Hyderabad, Pune, Chennai). Age 25–50. Interests: cloud computing, AWS, Microsoft Azure, DevOps, IT management. Exclude students/job seekers where possible.</t>
        </is>
      </c>
      <c r="C5" s="10" t="inlineStr">
        <is>
          <t>30-sec CTO talking-head video, 15-sec text reel, speaker card image, 5-slide carousel</t>
        </is>
      </c>
      <c r="D5" s="10" t="inlineStr">
        <is>
          <t>"Your cloud bill keeps growing but traffic doesn't? Watch a CTO tear down real cloud bills, live."</t>
        </is>
      </c>
      <c r="E5" s="10" t="inlineStr">
        <is>
          <t>Meta instant lead form (pre-filled) AND landing page: test both in week 1</t>
        </is>
      </c>
    </row>
    <row r="6" ht="90" customHeight="1">
      <c r="A6" s="13" t="inlineStr">
        <is>
          <t>Meta: retargeting</t>
        </is>
      </c>
      <c r="B6" s="10" t="inlineStr">
        <is>
          <t>People who visited the landing page but did not register, watched 50%+ of a video, or opened the lead form without submitting. Last 30 days.</t>
        </is>
      </c>
      <c r="C6" s="10" t="inlineStr">
        <is>
          <t>Countdown images (7 days / tomorrow / today), "X people registered" image</t>
        </is>
      </c>
      <c r="D6" s="10" t="inlineStr">
        <is>
          <t>"Seats are filling. Live teardown of real cloud bills: [date], 4 pm."</t>
        </is>
      </c>
      <c r="E6" s="10" t="inlineStr">
        <is>
          <t>Landing page</t>
        </is>
      </c>
    </row>
    <row r="7" ht="90" customHeight="1">
      <c r="A7" s="13" t="inlineStr">
        <is>
          <t>LinkedIn: job-title targeting</t>
        </is>
      </c>
      <c r="B7" s="10" t="inlineStr">
        <is>
          <t>India. Job titles: IT Manager, Engineering Manager, Head of IT, Tech Lead, Cloud Architect, DevOps Manager, CTO, VP Engineering. Company size 200+. Exclude your own employees and competitors.</t>
        </is>
      </c>
      <c r="C7" s="10" t="inlineStr">
        <is>
          <t>Single image (speaker card), document ad (5 CTO questions), 30-sec video. Thought Leader Ads from CEO/CTO posts if approved</t>
        </is>
      </c>
      <c r="D7" s="10" t="inlineStr">
        <is>
          <t>"Your cloud bill is a leadership problem. The CTO decision framework, live, with real bill teardowns."</t>
        </is>
      </c>
      <c r="E7" s="10" t="inlineStr">
        <is>
          <t>LinkedIn Lead Gen Form (pre-filled, 5 fields max)</t>
        </is>
      </c>
    </row>
    <row r="8" ht="90" customHeight="1">
      <c r="A8" s="13" t="inlineStr">
        <is>
          <t>Google: Search</t>
        </is>
      </c>
      <c r="B8" s="10" t="inlineStr">
        <is>
          <t>India. Keywords: cloud cost optimization, reduce AWS bill, AWS cost reduction, cloud migration strategy, Azure cost management. Phrase + exact match. Negative keywords: jobs, course, free, certification, salary.</t>
        </is>
      </c>
      <c r="C8" s="10" t="inlineStr">
        <is>
          <t>Responsive search ads, 3 ad groups by keyword theme. Sitelinks: Agenda, Speakers, Register.</t>
        </is>
      </c>
      <c r="D8" s="10" t="inlineStr">
        <is>
          <t>"Free Live Webinar: Cut Your Cloud Bill | CTO Framework + Live Bill Teardown"</t>
        </is>
      </c>
      <c r="E8" s="10" t="inlineStr">
        <is>
          <t>Landing page</t>
        </is>
      </c>
    </row>
    <row r="9" ht="90" customHeight="1">
      <c r="A9" s="13" t="inlineStr">
        <is>
          <t>Google: YouTube video ads</t>
        </is>
      </c>
      <c r="B9" s="10" t="inlineStr">
        <is>
          <t>India. Custom segment: people who searched cloud cost / AWS / Azure terms. Placements on tech and cloud channels.</t>
        </is>
      </c>
      <c r="C9" s="10" t="inlineStr">
        <is>
          <t>60-sec mini-lesson video (skippable in-stream) + 15-sec Shorts version</t>
        </is>
      </c>
      <c r="D9" s="10" t="inlineStr">
        <is>
          <t>Give one part of the framework for free, "the rest is live on [date]"</t>
        </is>
      </c>
      <c r="E9" s="10" t="inlineStr">
        <is>
          <t>Landing page</t>
        </is>
      </c>
    </row>
    <row r="11">
      <c r="A11" s="3" t="inlineStr">
        <is>
          <t>Landing page / form checklist (everything on the first screen)</t>
        </is>
      </c>
    </row>
    <row r="12">
      <c r="A12" s="22" t="inlineStr">
        <is>
          <t>1. Headline = webinar title. Sub-headline = the live cloud bill teardown promise.</t>
        </is>
      </c>
    </row>
    <row r="13">
      <c r="A13" s="22" t="inlineStr">
        <is>
          <t>2. Photos of CEO and CTO with a 2-line bio and client names (with permission).</t>
        </is>
      </c>
    </row>
    <row r="14">
      <c r="A14" s="22" t="inlineStr">
        <is>
          <t>3. Three bullets: what you will take away.</t>
        </is>
      </c>
    </row>
    <row r="15">
      <c r="A15" s="22" t="inlineStr">
        <is>
          <t>4. Form with only 5 fields: name, work email, phone, job title, monthly cloud bill (dropdown).</t>
        </is>
      </c>
    </row>
    <row r="16">
      <c r="A16" s="22" t="inlineStr">
        <is>
          <t>5. Thank-you page: Add to Calendar button, WhatsApp opt-in, invite-a-colleague link.</t>
        </is>
      </c>
    </row>
    <row r="17">
      <c r="A17" s="22" t="inlineStr">
        <is>
          <t>6. Clearly say: "No product demo. No sales pitch."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0" customWidth="1" min="3" max="3"/>
  </cols>
  <sheetData>
    <row r="1">
      <c r="A1" s="1" t="inlineStr">
        <is>
          <t>Show-up plan: turning registrations into live attendees</t>
        </is>
      </c>
    </row>
    <row r="2">
      <c r="A2" s="2" t="inlineStr">
        <is>
          <t>Ads bring registrations. These reminders (no ad cost) decide whether we hit 200 live.</t>
        </is>
      </c>
    </row>
    <row r="4" ht="32" customHeight="1">
      <c r="A4" s="12" t="inlineStr">
        <is>
          <t>When</t>
        </is>
      </c>
      <c r="B4" s="12" t="inlineStr">
        <is>
          <t>Channel</t>
        </is>
      </c>
      <c r="C4" s="12" t="inlineStr">
        <is>
          <t>Message</t>
        </is>
      </c>
    </row>
    <row r="5">
      <c r="A5" s="10" t="inlineStr">
        <is>
          <t>Right after registering</t>
        </is>
      </c>
      <c r="B5" s="10" t="inlineStr">
        <is>
          <t>Email + WhatsApp</t>
        </is>
      </c>
      <c r="C5" s="10" t="inlineStr">
        <is>
          <t>Confirmation + calendar invite (.ics) + link to send your cloud bill question</t>
        </is>
      </c>
    </row>
    <row r="6">
      <c r="A6" s="10" t="inlineStr">
        <is>
          <t>7 days before</t>
        </is>
      </c>
      <c r="B6" s="10" t="inlineStr">
        <is>
          <t>Email</t>
        </is>
      </c>
      <c r="C6" s="10" t="inlineStr">
        <is>
          <t>Value teaser: one part of the framework, "full version live"</t>
        </is>
      </c>
    </row>
    <row r="7">
      <c r="A7" s="10" t="inlineStr">
        <is>
          <t>3 days before</t>
        </is>
      </c>
      <c r="B7" s="10" t="inlineStr">
        <is>
          <t>Email</t>
        </is>
      </c>
      <c r="C7" s="10" t="inlineStr">
        <is>
          <t>Agenda + "bills for the live teardown are being chosen"</t>
        </is>
      </c>
    </row>
    <row r="8">
      <c r="A8" s="10" t="inlineStr">
        <is>
          <t>1 day before</t>
        </is>
      </c>
      <c r="B8" s="10" t="inlineStr">
        <is>
          <t>Email + WhatsApp</t>
        </is>
      </c>
      <c r="C8" s="10" t="inlineStr">
        <is>
          <t>Reminder for tomorrow + lucky draw for those who stay till the end</t>
        </is>
      </c>
    </row>
    <row r="9">
      <c r="A9" s="10" t="inlineStr">
        <is>
          <t>1 day before</t>
        </is>
      </c>
      <c r="B9" s="10" t="inlineStr">
        <is>
          <t>Sales team phone call</t>
        </is>
      </c>
      <c r="C9" s="10" t="inlineStr">
        <is>
          <t>Personal call to the top 50 best-fit registrants (big cloud bill)</t>
        </is>
      </c>
    </row>
    <row r="10">
      <c r="A10" s="10" t="inlineStr">
        <is>
          <t>2 hours before</t>
        </is>
      </c>
      <c r="B10" s="10" t="inlineStr">
        <is>
          <t>WhatsApp</t>
        </is>
      </c>
      <c r="C10" s="10" t="inlineStr">
        <is>
          <t>Join link</t>
        </is>
      </c>
    </row>
    <row r="11">
      <c r="A11" s="10" t="inlineStr">
        <is>
          <t>15 minutes before</t>
        </is>
      </c>
      <c r="B11" s="10" t="inlineStr">
        <is>
          <t>Email + WhatsApp</t>
        </is>
      </c>
      <c r="C11" s="10" t="inlineStr">
        <is>
          <t>"We are going live"</t>
        </is>
      </c>
    </row>
    <row r="12">
      <c r="A12" s="10" t="inlineStr">
        <is>
          <t>5 minutes after start</t>
        </is>
      </c>
      <c r="B12" s="10" t="inlineStr">
        <is>
          <t>Email + WhatsApp</t>
        </is>
      </c>
      <c r="C12" s="10" t="inlineStr">
        <is>
          <t>To no-shows: "We have started, the teardown is at the end"</t>
        </is>
      </c>
    </row>
    <row r="14">
      <c r="A14" s="31" t="inlineStr">
        <is>
          <t>Rules: use the same join link in every reminder. Do NOT promise a recording in advance (it lowers live attendance). Send the recording to no-shows after.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4" customWidth="1" min="3" max="3"/>
    <col width="40" customWidth="1" min="4" max="4"/>
  </cols>
  <sheetData>
    <row r="1">
      <c r="A1" s="1" t="inlineStr">
        <is>
          <t>Daily rules: when to stop an ad and when to add money</t>
        </is>
      </c>
    </row>
    <row r="2">
      <c r="A2" s="2" t="inlineStr">
        <is>
          <t>Check ads every day. Change ads twice a week. Send the registration count to the CEO every Monday.</t>
        </is>
      </c>
    </row>
    <row r="4" ht="32" customHeight="1">
      <c r="A4" s="12" t="inlineStr">
        <is>
          <t>What we watch</t>
        </is>
      </c>
      <c r="B4" s="12" t="inlineStr">
        <is>
          <t>Good (target)</t>
        </is>
      </c>
      <c r="C4" s="12" t="inlineStr">
        <is>
          <t>Stop / alarm</t>
        </is>
      </c>
      <c r="D4" s="12" t="inlineStr">
        <is>
          <t>What we do</t>
        </is>
      </c>
    </row>
    <row r="5">
      <c r="A5" s="13" t="inlineStr">
        <is>
          <t>Meta cost per registration</t>
        </is>
      </c>
      <c r="B5" s="10" t="inlineStr">
        <is>
          <t>Below ₹250</t>
        </is>
      </c>
      <c r="C5" s="10" t="inlineStr">
        <is>
          <t>Above ₹450 after ₹2,000 spent</t>
        </is>
      </c>
      <c r="D5" s="10" t="inlineStr">
        <is>
          <t>Stop that ad, move money to the winner</t>
        </is>
      </c>
    </row>
    <row r="6">
      <c r="A6" s="13" t="inlineStr">
        <is>
          <t>LinkedIn cost per registration</t>
        </is>
      </c>
      <c r="B6" s="10" t="inlineStr">
        <is>
          <t>Below ₹1,300</t>
        </is>
      </c>
      <c r="C6" s="10" t="inlineStr">
        <is>
          <t>Above ₹2,000 after ₹5,000 spent</t>
        </is>
      </c>
      <c r="D6" s="10" t="inlineStr">
        <is>
          <t>Stop that ad, change audience or image</t>
        </is>
      </c>
    </row>
    <row r="7">
      <c r="A7" s="13" t="inlineStr">
        <is>
          <t>Google Search cost per registration</t>
        </is>
      </c>
      <c r="B7" s="10" t="inlineStr">
        <is>
          <t>Below ₹800</t>
        </is>
      </c>
      <c r="C7" s="10" t="inlineStr">
        <is>
          <t>Above ₹1,400 after ₹4,000 spent</t>
        </is>
      </c>
      <c r="D7" s="10" t="inlineStr">
        <is>
          <t>Pause keyword, add negative keywords</t>
        </is>
      </c>
    </row>
    <row r="8">
      <c r="A8" s="13" t="inlineStr">
        <is>
          <t>YouTube cost per registration</t>
        </is>
      </c>
      <c r="B8" s="10" t="inlineStr">
        <is>
          <t>Below ₹500</t>
        </is>
      </c>
      <c r="C8" s="10" t="inlineStr">
        <is>
          <t>Above ₹900 after ₹3,000 spent</t>
        </is>
      </c>
      <c r="D8" s="10" t="inlineStr">
        <is>
          <t>Change the first 5 seconds of the video</t>
        </is>
      </c>
    </row>
    <row r="9">
      <c r="A9" s="13" t="inlineStr">
        <is>
          <t>Landing page conversion</t>
        </is>
      </c>
      <c r="B9" s="10" t="inlineStr">
        <is>
          <t>Above 12%</t>
        </is>
      </c>
      <c r="C9" s="10" t="inlineStr">
        <is>
          <t>Below 8%</t>
        </is>
      </c>
      <c r="D9" s="10" t="inlineStr">
        <is>
          <t>Change headline or shorten the form</t>
        </is>
      </c>
    </row>
    <row r="10">
      <c r="A10" s="13" t="inlineStr">
        <is>
          <t>Right audience (manager+ title and bill filled)</t>
        </is>
      </c>
      <c r="B10" s="10" t="inlineStr">
        <is>
          <t>Above 50%</t>
        </is>
      </c>
      <c r="C10" s="10" t="inlineStr">
        <is>
          <t>Below 35%</t>
        </is>
      </c>
      <c r="D10" s="10" t="inlineStr">
        <is>
          <t>Tighten Meta interests, shift money to LinkedIn</t>
        </is>
      </c>
    </row>
    <row r="11">
      <c r="A11" s="13" t="inlineStr">
        <is>
          <t>Winning ad</t>
        </is>
      </c>
      <c r="B11" s="10" t="inlineStr">
        <is>
          <t>Cost 30% below target</t>
        </is>
      </c>
      <c r="C11" s="10" t="inlineStr"/>
      <c r="D11" s="10" t="inlineStr">
        <is>
          <t>Raise budget 20% every 3 days</t>
        </is>
      </c>
    </row>
    <row r="12">
      <c r="A12" s="13" t="inlineStr">
        <is>
          <t>Ad fatigue (CTR drops 30% from its best)</t>
        </is>
      </c>
      <c r="B12" s="10" t="inlineStr"/>
      <c r="C12" s="10" t="inlineStr">
        <is>
          <t>CTR falls 30%</t>
        </is>
      </c>
      <c r="D12" s="10" t="inlineStr">
        <is>
          <t>Swap in a new ad version</t>
        </is>
      </c>
    </row>
    <row r="13">
      <c r="A13" s="13" t="inlineStr">
        <is>
          <t>Show-up rate on the day</t>
        </is>
      </c>
      <c r="B13" s="10" t="inlineStr">
        <is>
          <t>Above 25%</t>
        </is>
      </c>
      <c r="C13" s="10" t="inlineStr"/>
      <c r="D13" s="10" t="inlineStr">
        <is>
          <t>Learning for the next webinar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What-if: what happens if things go better or worse</t>
        </is>
      </c>
    </row>
    <row r="2">
      <c r="A2" s="2" t="inlineStr">
        <is>
          <t>Total all-in budget for 200 live attendees, depending on show-up rate and ad costs. Edit the blue headers to test other values.</t>
        </is>
      </c>
    </row>
    <row r="4">
      <c r="A4" s="3" t="inlineStr">
        <is>
          <t>Total budget (₹, all-in) for 200 live attendees</t>
        </is>
      </c>
    </row>
    <row r="5">
      <c r="A5" s="12" t="inlineStr">
        <is>
          <t>Show-up rate ↓  /  Ad cost change →</t>
        </is>
      </c>
      <c r="B5" s="36" t="n">
        <v>-0.2</v>
      </c>
      <c r="C5" s="36" t="n">
        <v>0</v>
      </c>
      <c r="D5" s="36" t="n">
        <v>0.2</v>
      </c>
      <c r="E5" s="36" t="n">
        <v>0.4</v>
      </c>
    </row>
    <row r="6">
      <c r="A6" s="37" t="n">
        <v>0.2</v>
      </c>
      <c r="B6" s="33">
        <f>ROUNDUP(Inputs!$B$6/$A6,0)*'Channel Plan'!$D$10*(1+B$5)*(1+Inputs!$B$10+Inputs!$B$11)+Inputs!$B$12+Inputs!$B$13+Inputs!$B$14</f>
        <v>594120.0</v>
      </c>
      <c r="C6" s="33">
        <f>ROUNDUP(Inputs!$B$6/$A6,0)*'Channel Plan'!$D$10*(1+C$5)*(1+Inputs!$B$10+Inputs!$B$11)+Inputs!$B$12+Inputs!$B$13+Inputs!$B$14</f>
        <v>731400.0</v>
      </c>
      <c r="D6" s="33">
        <f>ROUNDUP(Inputs!$B$6/$A6,0)*'Channel Plan'!$D$10*(1+D$5)*(1+Inputs!$B$10+Inputs!$B$11)+Inputs!$B$12+Inputs!$B$13+Inputs!$B$14</f>
        <v>868680.0</v>
      </c>
      <c r="E6" s="33">
        <f>ROUNDUP(Inputs!$B$6/$A6,0)*'Channel Plan'!$D$10*(1+E$5)*(1+Inputs!$B$10+Inputs!$B$11)+Inputs!$B$12+Inputs!$B$13+Inputs!$B$14</f>
        <v>1005960.0</v>
      </c>
    </row>
    <row r="7">
      <c r="A7" s="37" t="n">
        <v>0.25</v>
      </c>
      <c r="B7" s="33">
        <f>ROUNDUP(Inputs!$B$6/$A7,0)*'Channel Plan'!$D$10*(1+B$5)*(1+Inputs!$B$10+Inputs!$B$11)+Inputs!$B$12+Inputs!$B$13+Inputs!$B$14</f>
        <v>484296.0</v>
      </c>
      <c r="C7" s="33">
        <f>ROUNDUP(Inputs!$B$6/$A7,0)*'Channel Plan'!$D$10*(1+C$5)*(1+Inputs!$B$10+Inputs!$B$11)+Inputs!$B$12+Inputs!$B$13+Inputs!$B$14</f>
        <v>594120.0</v>
      </c>
      <c r="D7" s="33">
        <f>ROUNDUP(Inputs!$B$6/$A7,0)*'Channel Plan'!$D$10*(1+D$5)*(1+Inputs!$B$10+Inputs!$B$11)+Inputs!$B$12+Inputs!$B$13+Inputs!$B$14</f>
        <v>703944.0</v>
      </c>
      <c r="E7" s="33">
        <f>ROUNDUP(Inputs!$B$6/$A7,0)*'Channel Plan'!$D$10*(1+E$5)*(1+Inputs!$B$10+Inputs!$B$11)+Inputs!$B$12+Inputs!$B$13+Inputs!$B$14</f>
        <v>813768.0</v>
      </c>
    </row>
    <row r="8">
      <c r="A8" s="37" t="n">
        <v>0.3</v>
      </c>
      <c r="B8" s="33">
        <f>ROUNDUP(Inputs!$B$6/$A8,0)*'Channel Plan'!$D$10*(1+B$5)*(1+Inputs!$B$10+Inputs!$B$11)+Inputs!$B$12+Inputs!$B$13+Inputs!$B$14</f>
        <v>411263.04</v>
      </c>
      <c r="C8" s="33">
        <f>ROUNDUP(Inputs!$B$6/$A8,0)*'Channel Plan'!$D$10*(1+C$5)*(1+Inputs!$B$10+Inputs!$B$11)+Inputs!$B$12+Inputs!$B$13+Inputs!$B$14</f>
        <v>502828.8</v>
      </c>
      <c r="D8" s="33">
        <f>ROUNDUP(Inputs!$B$6/$A8,0)*'Channel Plan'!$D$10*(1+D$5)*(1+Inputs!$B$10+Inputs!$B$11)+Inputs!$B$12+Inputs!$B$13+Inputs!$B$14</f>
        <v>594394.56</v>
      </c>
      <c r="E8" s="33">
        <f>ROUNDUP(Inputs!$B$6/$A8,0)*'Channel Plan'!$D$10*(1+E$5)*(1+Inputs!$B$10+Inputs!$B$11)+Inputs!$B$12+Inputs!$B$13+Inputs!$B$14</f>
        <v>685960.32</v>
      </c>
    </row>
    <row r="9">
      <c r="A9" s="37" t="n">
        <v>0.35</v>
      </c>
      <c r="B9" s="33">
        <f>ROUNDUP(Inputs!$B$6/$A9,0)*'Channel Plan'!$D$10*(1+B$5)*(1+Inputs!$B$10+Inputs!$B$11)+Inputs!$B$12+Inputs!$B$13+Inputs!$B$14</f>
        <v>359096.64</v>
      </c>
      <c r="C9" s="33">
        <f>ROUNDUP(Inputs!$B$6/$A9,0)*'Channel Plan'!$D$10*(1+C$5)*(1+Inputs!$B$10+Inputs!$B$11)+Inputs!$B$12+Inputs!$B$13+Inputs!$B$14</f>
        <v>437620.8</v>
      </c>
      <c r="D9" s="33">
        <f>ROUNDUP(Inputs!$B$6/$A9,0)*'Channel Plan'!$D$10*(1+D$5)*(1+Inputs!$B$10+Inputs!$B$11)+Inputs!$B$12+Inputs!$B$13+Inputs!$B$14</f>
        <v>516144.96</v>
      </c>
      <c r="E9" s="33">
        <f>ROUNDUP(Inputs!$B$6/$A9,0)*'Channel Plan'!$D$10*(1+E$5)*(1+Inputs!$B$10+Inputs!$B$11)+Inputs!$B$12+Inputs!$B$13+Inputs!$B$14</f>
        <v>594669.12</v>
      </c>
    </row>
    <row r="10">
      <c r="A10" s="2" t="inlineStr">
        <is>
          <t>Expected case = 25% show-up and +0% ad cost change (this matches the Channel Plan total, up to rounding).</t>
        </is>
      </c>
    </row>
    <row r="12">
      <c r="A12" s="3" t="inlineStr">
        <is>
          <t>Registrations needed at each show-up rate</t>
        </is>
      </c>
    </row>
    <row r="13" ht="32" customHeight="1">
      <c r="A13" s="12" t="inlineStr">
        <is>
          <t>Show-up rate</t>
        </is>
      </c>
      <c r="B13" s="12" t="inlineStr">
        <is>
          <t>Registrations needed</t>
        </is>
      </c>
      <c r="C13" s="12" t="inlineStr">
        <is>
          <t>Ad spend at expected cost (₹)</t>
        </is>
      </c>
      <c r="D13" s="12" t="inlineStr"/>
      <c r="E13" s="12" t="inlineStr"/>
      <c r="F13" s="12" t="inlineStr"/>
    </row>
    <row r="14">
      <c r="A14" s="38">
        <f>A6</f>
        <v>0.2</v>
      </c>
      <c r="B14" s="27">
        <f>ROUNDUP(Inputs!$B$6/A14,0)</f>
        <v>1000.0</v>
      </c>
      <c r="C14" s="33">
        <f>B14*'Channel Plan'!$D$10</f>
        <v>536250.0</v>
      </c>
    </row>
    <row r="15">
      <c r="A15" s="38">
        <f>A7</f>
        <v>0.25</v>
      </c>
      <c r="B15" s="27">
        <f>ROUNDUP(Inputs!$B$6/A15,0)</f>
        <v>800.0</v>
      </c>
      <c r="C15" s="33">
        <f>B15*'Channel Plan'!$D$10</f>
        <v>429000.0</v>
      </c>
    </row>
    <row r="16">
      <c r="A16" s="38">
        <f>A8</f>
        <v>0.3</v>
      </c>
      <c r="B16" s="27">
        <f>ROUNDUP(Inputs!$B$6/A16,0)</f>
        <v>667.0</v>
      </c>
      <c r="C16" s="33">
        <f>B16*'Channel Plan'!$D$10</f>
        <v>357678.75</v>
      </c>
    </row>
    <row r="17">
      <c r="A17" s="38">
        <f>A9</f>
        <v>0.35</v>
      </c>
      <c r="B17" s="27">
        <f>ROUNDUP(Inputs!$B$6/A17,0)</f>
        <v>572.0</v>
      </c>
      <c r="C17" s="33">
        <f>B17*'Channel Plan'!$D$10</f>
        <v>306735.0</v>
      </c>
    </row>
    <row r="19">
      <c r="A19" s="31" t="inlineStr">
        <is>
          <t>Takeaway: show-up rate matters as much as ad cost. Every 5 points of show-up we gain saves lakhs, which is why the reminder plan is not optional.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Glossary: plain-English meaning of every term</t>
        </is>
      </c>
    </row>
    <row r="2">
      <c r="A2" s="2" t="inlineStr"/>
    </row>
    <row r="4" ht="32" customHeight="1">
      <c r="A4" s="12" t="inlineStr">
        <is>
          <t>Term</t>
        </is>
      </c>
      <c r="B4" s="12" t="inlineStr">
        <is>
          <t>Meaning</t>
        </is>
      </c>
    </row>
    <row r="5">
      <c r="A5" s="13" t="inlineStr">
        <is>
          <t>Impression</t>
        </is>
      </c>
      <c r="B5" s="10" t="inlineStr">
        <is>
          <t>One time an ad is shown on someone's screen.</t>
        </is>
      </c>
    </row>
    <row r="6">
      <c r="A6" s="13" t="inlineStr">
        <is>
          <t>CTR (click-through rate)</t>
        </is>
      </c>
      <c r="B6" s="10" t="inlineStr">
        <is>
          <t>Out of 100 people who see the ad, how many click. 1% = 1 in 100.</t>
        </is>
      </c>
    </row>
    <row r="7">
      <c r="A7" s="13" t="inlineStr">
        <is>
          <t>Conversion rate</t>
        </is>
      </c>
      <c r="B7" s="10" t="inlineStr">
        <is>
          <t>Out of 100 people who click, how many fill the registration form.</t>
        </is>
      </c>
    </row>
    <row r="8">
      <c r="A8" s="13" t="inlineStr">
        <is>
          <t>Registration</t>
        </is>
      </c>
      <c r="B8" s="10" t="inlineStr">
        <is>
          <t>Someone who filled the form. Not yet an attendee.</t>
        </is>
      </c>
    </row>
    <row r="9">
      <c r="A9" s="13" t="inlineStr">
        <is>
          <t>Cost per registration (CPR)</t>
        </is>
      </c>
      <c r="B9" s="10" t="inlineStr">
        <is>
          <t>Ad money spent ÷ number of registrations.</t>
        </is>
      </c>
    </row>
    <row r="10">
      <c r="A10" s="13" t="inlineStr">
        <is>
          <t>Show-up rate</t>
        </is>
      </c>
      <c r="B10" s="10" t="inlineStr">
        <is>
          <t>Out of 100 registrations, how many actually join live.</t>
        </is>
      </c>
    </row>
    <row r="11">
      <c r="A11" s="13" t="inlineStr">
        <is>
          <t>Cost per live attendee</t>
        </is>
      </c>
      <c r="B11" s="10" t="inlineStr">
        <is>
          <t>Total budget ÷ number of people who attend live. The number that matters.</t>
        </is>
      </c>
    </row>
    <row r="12">
      <c r="A12" s="13" t="inlineStr">
        <is>
          <t>Retargeting</t>
        </is>
      </c>
      <c r="B12" s="10" t="inlineStr">
        <is>
          <t>Showing ads again to people who already visited our page or watched our video.</t>
        </is>
      </c>
    </row>
    <row r="13">
      <c r="A13" s="13" t="inlineStr">
        <is>
          <t>Lead Gen Form / Lead form</t>
        </is>
      </c>
      <c r="B13" s="10" t="inlineStr">
        <is>
          <t>A form inside LinkedIn or Meta that is pre-filled with the person's details. Higher sign-ups than a website form.</t>
        </is>
      </c>
    </row>
    <row r="14">
      <c r="A14" s="13" t="inlineStr">
        <is>
          <t>Thought Leader Ad (LinkedIn)</t>
        </is>
      </c>
      <c r="B14" s="10" t="inlineStr">
        <is>
          <t>The company pays to promote a post from the CEO's or CTO's personal profile. Usually cheaper and more trusted than company-page ads.</t>
        </is>
      </c>
    </row>
    <row r="15">
      <c r="A15" s="13" t="inlineStr">
        <is>
          <t>Pixel / Insight Tag / Google tag</t>
        </is>
      </c>
      <c r="B15" s="10" t="inlineStr">
        <is>
          <t>Small tracking codes on the landing page that tell each ad platform who registered, so it can find more people like them.</t>
        </is>
      </c>
    </row>
    <row r="16">
      <c r="A16" s="13" t="inlineStr">
        <is>
          <t>UTM</t>
        </is>
      </c>
      <c r="B16" s="10" t="inlineStr">
        <is>
          <t>A tag at the end of a link that shows which ad a registration came from.</t>
        </is>
      </c>
    </row>
    <row r="17">
      <c r="A17" s="13" t="inlineStr">
        <is>
          <t>Test buffer</t>
        </is>
      </c>
      <c r="B17" s="10" t="inlineStr">
        <is>
          <t>Money we expect to lose on ads that don't work in week 1. The price of finding the winners.</t>
        </is>
      </c>
    </row>
    <row r="18">
      <c r="A18" s="13" t="inlineStr">
        <is>
          <t>Ad fatigue</t>
        </is>
      </c>
      <c r="B18" s="10" t="inlineStr">
        <is>
          <t>When the same people see an ad too often and stop clicking. Fix: new ad version.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2026-10-04T08:07:19Z</dcterms:created>
  <dcterms:modified xsi:type="dcterms:W3CDTF">2026-10-04T08:07:19Z</dcterms:modified>
</cp:coreProperties>
</file>